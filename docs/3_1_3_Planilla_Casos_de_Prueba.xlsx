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s Estandar " sheetId="1" state="visible" r:id="rId3"/>
    <sheet name="Casos de Prueba" sheetId="2" state="visible" r:id="rId4"/>
    <sheet name="Totales" sheetId="3" state="visible" r:id="rId5"/>
  </sheets>
  <definedNames>
    <definedName function="false" hidden="false" localSheetId="1" name="_xlnm.Print_Area" vbProcedure="false">'Casos de Prueba'!$C$1:$N$534</definedName>
    <definedName function="false" hidden="true" localSheetId="1" name="_xlnm._FilterDatabase" vbProcedure="false">'Casos de Prueba'!$A$12:$N$13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Nombre de la sección de la aplicación que se esta probando.</t>
        </r>
      </text>
    </comment>
    <comment ref="D12" authorId="0">
      <text>
        <r>
          <rPr>
            <sz val="10"/>
            <rFont val="Arial"/>
            <family val="2"/>
          </rPr>
          <t xml:space="preserve">Nombre de la tarea que se esta probando</t>
        </r>
      </text>
    </comment>
    <comment ref="F12" authorId="0">
      <text>
        <r>
          <rPr>
            <sz val="10"/>
            <rFont val="Arial"/>
            <family val="2"/>
          </rPr>
          <t xml:space="preserve">Definición del tema que se quiere probar. Especificar que actividad se va a realizar en la prueba.</t>
        </r>
      </text>
    </comment>
    <comment ref="G12" authorId="0">
      <text>
        <r>
          <rPr>
            <sz val="10"/>
            <rFont val="Arial"/>
            <family val="2"/>
          </rPr>
          <t xml:space="preserve">Definición del tema que se quiere probar. Especificar que actividad se va a realizar en la prueba.</t>
        </r>
      </text>
    </comment>
    <comment ref="I12" authorId="0">
      <text>
        <r>
          <rPr>
            <sz val="10"/>
            <rFont val="Arial"/>
            <family val="2"/>
          </rPr>
          <t xml:space="preserve">Especificación del caso de prueba. Se debe detallar que es lo que debe realizar la aplicación al aplicar el caso mencionado.</t>
        </r>
      </text>
    </comment>
    <comment ref="J12" authorId="0">
      <text>
        <r>
          <rPr>
            <sz val="10"/>
            <rFont val="Arial"/>
            <family val="2"/>
          </rPr>
          <t xml:space="preserve">Detalle de lo que realmente ocurre al realizar le caso.</t>
        </r>
      </text>
    </comment>
    <comment ref="J13" authorId="0">
      <text>
        <r>
          <rPr>
            <sz val="10"/>
            <rFont val="Arial"/>
            <family val="2"/>
          </rPr>
          <t xml:space="preserve">Se selección SI cuando se cumple el resultado esperado.</t>
        </r>
      </text>
    </comment>
    <comment ref="K13" authorId="0">
      <text>
        <r>
          <rPr>
            <sz val="10"/>
            <rFont val="Arial"/>
            <family val="2"/>
          </rPr>
          <t xml:space="preserve">Se selecciona NO cuando no se cumple el resultado esperado.</t>
        </r>
      </text>
    </comment>
    <comment ref="L13" authorId="0">
      <text>
        <r>
          <rPr>
            <sz val="10"/>
            <rFont val="Arial"/>
            <family val="2"/>
          </rPr>
          <t xml:space="preserve">Se selecciona N/A cuando no se aplica este caso.</t>
        </r>
      </text>
    </comment>
    <comment ref="N13" authorId="0">
      <text>
        <r>
          <rPr>
            <sz val="10"/>
            <rFont val="Arial"/>
            <family val="2"/>
          </rPr>
          <t xml:space="preserve">Descripción del error encontrado.</t>
        </r>
      </text>
    </comment>
  </commentList>
</comments>
</file>

<file path=xl/sharedStrings.xml><?xml version="1.0" encoding="utf-8"?>
<sst xmlns="http://schemas.openxmlformats.org/spreadsheetml/2006/main" count="309" uniqueCount="231">
  <si>
    <t xml:space="preserve">Casos de Pruebas Estándar</t>
  </si>
  <si>
    <t xml:space="preserve">Todos los hitos deben ser marcados en el casillero respectivo con los siguientes estados:</t>
  </si>
  <si>
    <t xml:space="preserve">OK: El hito cumple lo indicado  -  NC: No cumple el ítem en forma óptima  -  NA: No aplica el ítem al componente/aplicación a evaluar</t>
  </si>
  <si>
    <t xml:space="preserve">ID</t>
  </si>
  <si>
    <t xml:space="preserve">1.- INTERFAZ GRÁFICA.</t>
  </si>
  <si>
    <t xml:space="preserve">Estado</t>
  </si>
  <si>
    <t xml:space="preserve">E-1.1</t>
  </si>
  <si>
    <t xml:space="preserve">Verificar que se encuentre un ícono en todos los mensajes desplegados por la aplicación</t>
  </si>
  <si>
    <t xml:space="preserve">OK</t>
  </si>
  <si>
    <t xml:space="preserve">E-1.2</t>
  </si>
  <si>
    <t xml:space="preserve">Verificar que los botones tengan un ícono o frase adecuado a su función.</t>
  </si>
  <si>
    <t xml:space="preserve">E-1.3</t>
  </si>
  <si>
    <t xml:space="preserve">Verificar que las aplicaciones con múltiples pantallas exista la opción “Retornar” a la pantalla anterior.</t>
  </si>
  <si>
    <t xml:space="preserve">2.- VALIDACIÓN DE DATOS DE ENTRADA</t>
  </si>
  <si>
    <t xml:space="preserve">E-2.1</t>
  </si>
  <si>
    <t xml:space="preserve">Verificar correcta lectura de la información ingresada.</t>
  </si>
  <si>
    <t xml:space="preserve">E-2.2</t>
  </si>
  <si>
    <t xml:space="preserve">Verificar que no se puedan hacer modificaciones en las pantallas de Consultas</t>
  </si>
  <si>
    <t xml:space="preserve">E-2.3</t>
  </si>
  <si>
    <t xml:space="preserve">Verificar la eliminación de la información.</t>
  </si>
  <si>
    <t xml:space="preserve">NA</t>
  </si>
  <si>
    <t xml:space="preserve">3.- PRUEBAS FUNCIONALES</t>
  </si>
  <si>
    <t xml:space="preserve">E-3.1</t>
  </si>
  <si>
    <t xml:space="preserve">Verificar que la Aplicación sea compatible con el resto de  las Aplicaciones del Ambiente de Pruebas.</t>
  </si>
  <si>
    <t xml:space="preserve">E-3.2</t>
  </si>
  <si>
    <t xml:space="preserve">Determinar y validar aspectos técnicos (Tablas, Bases de Datos, perfiles , etc)</t>
  </si>
  <si>
    <t xml:space="preserve">E-3.3</t>
  </si>
  <si>
    <t xml:space="preserve">Verificar correcto acceso a sub módulos o Programas</t>
  </si>
  <si>
    <t xml:space="preserve">4.- VERIFICACIÓN DE INFORMES</t>
  </si>
  <si>
    <t xml:space="preserve">E-4.1</t>
  </si>
  <si>
    <t xml:space="preserve">Verificar el correcto formato de los informes generados </t>
  </si>
  <si>
    <t xml:space="preserve">E-4.2</t>
  </si>
  <si>
    <t xml:space="preserve">Verificar que  se esté siguiendo una numeración secuencial lógica de acuerdo a un orden establecido.</t>
  </si>
  <si>
    <t xml:space="preserve">E-4.3</t>
  </si>
  <si>
    <t xml:space="preserve">Verificar que se realice el proceso de emisión del informe</t>
  </si>
  <si>
    <t xml:space="preserve">5.- IMPRESIONES</t>
  </si>
  <si>
    <t xml:space="preserve">E-5.1</t>
  </si>
  <si>
    <t xml:space="preserve">En listados revisar márgenes, verificando que el ancho del listado no sobrepase la hoja.</t>
  </si>
  <si>
    <t xml:space="preserve">E-5.2</t>
  </si>
  <si>
    <t xml:space="preserve">Verificar que el formato de la información que aparezca en las impresiones sea comprensible.</t>
  </si>
  <si>
    <t xml:space="preserve">  6.- OBSERVACIONES ANEXAS</t>
  </si>
  <si>
    <t xml:space="preserve">E-6.1</t>
  </si>
  <si>
    <t xml:space="preserve">E-6.2</t>
  </si>
  <si>
    <t xml:space="preserve">E-6.3</t>
  </si>
  <si>
    <t xml:space="preserve">PLANILLA CASOS DE PRUEBA</t>
  </si>
  <si>
    <t xml:space="preserve">PROYECTO</t>
  </si>
  <si>
    <t xml:space="preserve">Hana</t>
  </si>
  <si>
    <t xml:space="preserve">MODULOS</t>
  </si>
  <si>
    <t xml:space="preserve">Autenticación, Búsqueda, Reservas, Reseñas, Administración</t>
  </si>
  <si>
    <t xml:space="preserve">NOMBRE JEFE DE PROYECTO</t>
  </si>
  <si>
    <t xml:space="preserve">Adolfo Medina</t>
  </si>
  <si>
    <t xml:space="preserve">NOMBRE ANALISTA TESTING</t>
  </si>
  <si>
    <t xml:space="preserve">Solange Valdebenito</t>
  </si>
  <si>
    <t xml:space="preserve">Nº CICLO</t>
  </si>
  <si>
    <t xml:space="preserve">1</t>
  </si>
  <si>
    <t xml:space="preserve">FECHA</t>
  </si>
  <si>
    <t xml:space="preserve">16-06-2026</t>
  </si>
  <si>
    <t xml:space="preserve">Aplicación satélite</t>
  </si>
  <si>
    <t xml:space="preserve">N° Caso
Uso</t>
  </si>
  <si>
    <t xml:space="preserve">Caso Uso</t>
  </si>
  <si>
    <t xml:space="preserve">MODULO</t>
  </si>
  <si>
    <t xml:space="preserve">FUNCIONALIDAD</t>
  </si>
  <si>
    <t xml:space="preserve">Nº CASO de PRUEBA</t>
  </si>
  <si>
    <t xml:space="preserve">CASOS DE PRUEBAS
( QUE PROBAR )</t>
  </si>
  <si>
    <t xml:space="preserve">PROCEDIMIENTO DE PRUEBA 
(COMO)</t>
  </si>
  <si>
    <t xml:space="preserve">DATOS DE PRUEBA
(CON QUE PROBAR)</t>
  </si>
  <si>
    <t xml:space="preserve">RESULTADO ESPERADO</t>
  </si>
  <si>
    <t xml:space="preserve">RESULTADO OBTENIDO </t>
  </si>
  <si>
    <t xml:space="preserve">SI</t>
  </si>
  <si>
    <t xml:space="preserve">NO</t>
  </si>
  <si>
    <t xml:space="preserve">N/A</t>
  </si>
  <si>
    <t xml:space="preserve">P</t>
  </si>
  <si>
    <t xml:space="preserve">Descripción</t>
  </si>
  <si>
    <t xml:space="preserve">Registrarse</t>
  </si>
  <si>
    <t xml:space="preserve">Autenticación</t>
  </si>
  <si>
    <t xml:space="preserve">Registro de usuaria</t>
  </si>
  <si>
    <t xml:space="preserve">CP-01</t>
  </si>
  <si>
    <t xml:space="preserve">Registro de usuaria (clienta) con datos válidos.</t>
  </si>
  <si>
    <t xml:space="preserve">1. Ingresar a la página principal y seleccionar “Crear cuenta”.</t>
  </si>
  <si>
    <t xml:space="preserve">—</t>
  </si>
  <si>
    <t xml:space="preserve">Se despliega el formulario de registro.</t>
  </si>
  <si>
    <t xml:space="preserve">X</t>
  </si>
  <si>
    <t xml:space="preserve">Usuaria registrada correctamente, con normalización de nombre, correo y RUT.</t>
  </si>
  <si>
    <t xml:space="preserve">2. Ingresar nombre, apellido, RUT válido, fecha de nacimiento (mayor de 18), correo, contraseña y confirmación; seleccionar tipo Clienta.</t>
  </si>
  <si>
    <t xml:space="preserve">Nombre: “maria de los angeles” · RUT: 12.345.678-5 · Nac.: 2000-01-01 · maria@test.cl</t>
  </si>
  <si>
    <t xml:space="preserve">El formulario acepta los datos sin errores de validación.</t>
  </si>
  <si>
    <t xml:space="preserve">3. Aceptar el Compromiso Hana y seleccionar “Registrar”.</t>
  </si>
  <si>
    <t xml:space="preserve">Compromiso aceptado</t>
  </si>
  <si>
    <t xml:space="preserve">La usuaria queda registrada; nombre se almacena capitalizado (“Maria de los Angeles”) y correo en minúsculas.</t>
  </si>
  <si>
    <t xml:space="preserve">CP-02</t>
  </si>
  <si>
    <t xml:space="preserve">Registro con datos obligatorios incompletos (falta nombre).</t>
  </si>
  <si>
    <t xml:space="preserve">1. Ingresar al formulario de registro.</t>
  </si>
  <si>
    <t xml:space="preserve">El registro se bloquea y se informa el campo obligatorio faltante.</t>
  </si>
  <si>
    <t xml:space="preserve">2. Dejar el campo Nombre vacío e ingresar el resto de los datos válidos.</t>
  </si>
  <si>
    <t xml:space="preserve">Nombre: (vacío) · resto válido</t>
  </si>
  <si>
    <t xml:space="preserve">El campo Nombre se marca como requerido.</t>
  </si>
  <si>
    <t xml:space="preserve">3. Seleccionar “Registrar”.</t>
  </si>
  <si>
    <t xml:space="preserve">El sistema informa que faltan datos obligatorios y no crea la usuaria.</t>
  </si>
  <si>
    <t xml:space="preserve">Validación de RUT</t>
  </si>
  <si>
    <t xml:space="preserve">CP-03</t>
  </si>
  <si>
    <t xml:space="preserve">Registro con RUT con dígito verificador inválido (módulo 11).</t>
  </si>
  <si>
    <t xml:space="preserve">El RUT inválido es rechazado por la validación módulo 11; no se registra.</t>
  </si>
  <si>
    <t xml:space="preserve">2. Ingresar un RUT con dígito verificador incorrecto y el resto de datos válidos.</t>
  </si>
  <si>
    <t xml:space="preserve">RUT: 12345678-9</t>
  </si>
  <si>
    <t xml:space="preserve">El campo RUT se marca como inválido.</t>
  </si>
  <si>
    <t xml:space="preserve">El sistema rechaza el RUT y no crea la usuaria.</t>
  </si>
  <si>
    <t xml:space="preserve">Validación de edad</t>
  </si>
  <si>
    <t xml:space="preserve">CP-04</t>
  </si>
  <si>
    <t xml:space="preserve">Registro de una usuaria menor de 18 años.</t>
  </si>
  <si>
    <t xml:space="preserve">El registro se bloquea por edad menor a 18 años.</t>
  </si>
  <si>
    <t xml:space="preserve">2. Ingresar una fecha de nacimiento que resulte en edad menor a 18 años y el resto de datos válidos.</t>
  </si>
  <si>
    <t xml:space="preserve">Nac.: 2010-01-01</t>
  </si>
  <si>
    <t xml:space="preserve">El campo fecha de nacimiento se marca con error de edad mínima.</t>
  </si>
  <si>
    <t xml:space="preserve">El sistema impide el registro por no cumplir la edad mínima (18 años).</t>
  </si>
  <si>
    <t xml:space="preserve">Compromiso Hana</t>
  </si>
  <si>
    <t xml:space="preserve">CP-05</t>
  </si>
  <si>
    <t xml:space="preserve">Registro sin aceptar el Compromiso Hana.</t>
  </si>
  <si>
    <t xml:space="preserve">1. Ingresar al formulario de registro y completar todos los datos válidos.</t>
  </si>
  <si>
    <t xml:space="preserve">Datos válidos</t>
  </si>
  <si>
    <t xml:space="preserve">El formulario acepta los datos.</t>
  </si>
  <si>
    <t xml:space="preserve">El registro queda bloqueado mientras no se acepte el Compromiso Hana.</t>
  </si>
  <si>
    <t xml:space="preserve">2. No marcar la aceptación del Compromiso Hana y seleccionar “Registrar”.</t>
  </si>
  <si>
    <t xml:space="preserve">Compromiso: no aceptado</t>
  </si>
  <si>
    <t xml:space="preserve">El sistema exige aceptar el Compromiso Hana antes de continuar y no crea la usuaria.</t>
  </si>
  <si>
    <t xml:space="preserve">Iniciar sesión</t>
  </si>
  <si>
    <t xml:space="preserve">Login</t>
  </si>
  <si>
    <t xml:space="preserve">CP-06</t>
  </si>
  <si>
    <t xml:space="preserve">Inicio de sesión con credenciales válidas.</t>
  </si>
  <si>
    <t xml:space="preserve">1. Ingresar a la pantalla de inicio de sesión.</t>
  </si>
  <si>
    <t xml:space="preserve">Se despliega la pantalla de login.</t>
  </si>
  <si>
    <t xml:space="preserve">Inicio de sesión exitoso; se almacena el token y se accede a la cuenta.</t>
  </si>
  <si>
    <t xml:space="preserve">2. Ingresar correo y contraseña correctos y seleccionar “Ingresar”.</t>
  </si>
  <si>
    <t xml:space="preserve">maria@test.cl · contraseña válida</t>
  </si>
  <si>
    <t xml:space="preserve">El sistema autentica y emite el token JWT, redirigiendo a la sesión iniciada.</t>
  </si>
  <si>
    <t xml:space="preserve">CP-07</t>
  </si>
  <si>
    <t xml:space="preserve">Inicio de sesión con contraseña incorrecta.</t>
  </si>
  <si>
    <t xml:space="preserve">El acceso es denegado y se informa el error de credenciales.</t>
  </si>
  <si>
    <t xml:space="preserve">2. Ingresar un correo válido con contraseña incorrecta y seleccionar “Ingresar”.</t>
  </si>
  <si>
    <t xml:space="preserve">maria@test.cl · contraseña errónea</t>
  </si>
  <si>
    <t xml:space="preserve">El sistema muestra un mensaje de credenciales inválidas y no inicia sesión.</t>
  </si>
  <si>
    <t xml:space="preserve">Buscar trabajadoras</t>
  </si>
  <si>
    <t xml:space="preserve">Búsqueda</t>
  </si>
  <si>
    <t xml:space="preserve">Filtro por categoría y comuna</t>
  </si>
  <si>
    <t xml:space="preserve">CP-08</t>
  </si>
  <si>
    <t xml:space="preserve">Búsqueda de trabajadoras filtrando por categoría y comuna.</t>
  </si>
  <si>
    <t xml:space="preserve">1. Ingresar al buscador de trabajadoras.</t>
  </si>
  <si>
    <t xml:space="preserve">Se despliega el buscador con filtros.</t>
  </si>
  <si>
    <t xml:space="preserve">El buscador devuelve únicamente las trabajadoras que cumplen categoría y comuna.</t>
  </si>
  <si>
    <t xml:space="preserve">2. Seleccionar una categoría de servicio y una comuna y aplicar la búsqueda.</t>
  </si>
  <si>
    <t xml:space="preserve">Categoría: Manicura · Comuna: Santiago</t>
  </si>
  <si>
    <t xml:space="preserve">Se muestra el listado de trabajadoras que coinciden con los filtros.</t>
  </si>
  <si>
    <t xml:space="preserve">Ver perfil público</t>
  </si>
  <si>
    <t xml:space="preserve">Trabajadoras</t>
  </si>
  <si>
    <t xml:space="preserve">Perfil público</t>
  </si>
  <si>
    <t xml:space="preserve">CP-09</t>
  </si>
  <si>
    <t xml:space="preserve">Visualización del perfil público de una trabajadora sin sesión iniciada.</t>
  </si>
  <si>
    <t xml:space="preserve">1. Sin iniciar sesión, seleccionar una trabajadora del listado.</t>
  </si>
  <si>
    <t xml:space="preserve">Se abre la ruta pública /worker/:id.</t>
  </si>
  <si>
    <t xml:space="preserve">El perfil público se visualiza correctamente y no expone la fecha de nacimiento.</t>
  </si>
  <si>
    <t xml:space="preserve">2. Revisar la información mostrada en el perfil.</t>
  </si>
  <si>
    <t xml:space="preserve">Se muestran datos profesionales, categoría, modalidades y portafolio, sin exponer la fecha de nacimiento.</t>
  </si>
  <si>
    <t xml:space="preserve">Crear reserva</t>
  </si>
  <si>
    <t xml:space="preserve">Reservas</t>
  </si>
  <si>
    <t xml:space="preserve">CP-10</t>
  </si>
  <si>
    <t xml:space="preserve">Creación de una reserva en un horario disponible.</t>
  </si>
  <si>
    <t xml:space="preserve">1. Desde el perfil de una trabajadora, seleccionar “Reservar”.</t>
  </si>
  <si>
    <t xml:space="preserve">Se abre el calendario con los horarios disponibles.</t>
  </si>
  <si>
    <t xml:space="preserve">La reserva queda registrada en estado pendiente y aparece en “Mis reservas”.</t>
  </si>
  <si>
    <t xml:space="preserve">2. Seleccionar un día y una hora libres, indicar el servicio y confirmar.</t>
  </si>
  <si>
    <t xml:space="preserve">Servicio: Corte · fecha/hora libre</t>
  </si>
  <si>
    <t xml:space="preserve">La reserva se crea en estado “pendiente”.</t>
  </si>
  <si>
    <t xml:space="preserve">Anti-overbook</t>
  </si>
  <si>
    <t xml:space="preserve">CP-11</t>
  </si>
  <si>
    <t xml:space="preserve">Intento de reservar un horario ya ocupado (control anti-overbook).</t>
  </si>
  <si>
    <t xml:space="preserve">1. Abrir el calendario de reserva de la misma trabajadora.</t>
  </si>
  <si>
    <t xml:space="preserve">El calendario consulta los horarios ocupados.</t>
  </si>
  <si>
    <t xml:space="preserve">El horario ocupado se muestra bloqueado en la interfaz, impidiendo el sobre-agendamiento. Se mantiene en seguimiento el reforzamiento de la revalidación en el backend.</t>
  </si>
  <si>
    <t xml:space="preserve">2. Intentar seleccionar el horario que ya está reservado.</t>
  </si>
  <si>
    <t xml:space="preserve">Horario ya tomado</t>
  </si>
  <si>
    <t xml:space="preserve">El horario ocupado aparece bloqueado y no es seleccionable.</t>
  </si>
  <si>
    <t xml:space="preserve">Control de acceso</t>
  </si>
  <si>
    <t xml:space="preserve">CP-12</t>
  </si>
  <si>
    <t xml:space="preserve">Intento de crear una reserva sin sesión iniciada.</t>
  </si>
  <si>
    <t xml:space="preserve">1. Sin iniciar sesión, abrir un perfil de trabajadora y seleccionar “Reservar”.</t>
  </si>
  <si>
    <t xml:space="preserve">El sistema detecta que no hay sesión activa.</t>
  </si>
  <si>
    <t xml:space="preserve">La reserva requiere autenticación; sin token JWT la acción es rechazada.</t>
  </si>
  <si>
    <t xml:space="preserve">2. Observar la respuesta del sistema.</t>
  </si>
  <si>
    <t xml:space="preserve">Sin token JWT</t>
  </si>
  <si>
    <t xml:space="preserve">El sistema redirige al inicio de sesión y no permite crear la reserva.</t>
  </si>
  <si>
    <t xml:space="preserve">Gestionar reserva</t>
  </si>
  <si>
    <t xml:space="preserve">Aceptar/Completar</t>
  </si>
  <si>
    <t xml:space="preserve">CP-13</t>
  </si>
  <si>
    <t xml:space="preserve">Gestión de una reserva por la trabajadora: aceptar y luego completar el servicio.</t>
  </si>
  <si>
    <t xml:space="preserve">1. Ingresar al panel de reservas de la trabajadora.</t>
  </si>
  <si>
    <t xml:space="preserve">Se listan las reservas recibidas.</t>
  </si>
  <si>
    <t xml:space="preserve">La trabajadora gestiona la reserva y los estados transitan correctamente (pendiente → aceptada → completada).</t>
  </si>
  <si>
    <t xml:space="preserve">2. Aceptar la reserva pendiente.</t>
  </si>
  <si>
    <t xml:space="preserve">La reserva cambia a estado “aceptada”.</t>
  </si>
  <si>
    <t xml:space="preserve">3. Tras realizar el servicio, marcar la reserva como completada.</t>
  </si>
  <si>
    <t xml:space="preserve">La reserva cambia a estado “completada”.</t>
  </si>
  <si>
    <t xml:space="preserve">Dejar reseña mutua</t>
  </si>
  <si>
    <t xml:space="preserve">Reseñas</t>
  </si>
  <si>
    <t xml:space="preserve">Reseña tras servicio</t>
  </si>
  <si>
    <t xml:space="preserve">CP-14</t>
  </si>
  <si>
    <t xml:space="preserve">Dejar una reseña tras un servicio completado.</t>
  </si>
  <si>
    <t xml:space="preserve">1. Desde una reserva completada, seleccionar “Dejar reseña”.</t>
  </si>
  <si>
    <t xml:space="preserve">Se habilita el formulario de reseña.</t>
  </si>
  <si>
    <t xml:space="preserve">La reseña se registra y el rating del perfil se actualiza.</t>
  </si>
  <si>
    <t xml:space="preserve">2. Ingresar calificación y comentario, y confirmar.</t>
  </si>
  <si>
    <t xml:space="preserve">Rating: 5 · comentario</t>
  </si>
  <si>
    <t xml:space="preserve">La reseña se guarda y se recalcula el rating de la trabajadora.</t>
  </si>
  <si>
    <t xml:space="preserve">Administrar plataforma</t>
  </si>
  <si>
    <t xml:space="preserve">Administración</t>
  </si>
  <si>
    <t xml:space="preserve">Control de rol</t>
  </si>
  <si>
    <t xml:space="preserve">CP-15</t>
  </si>
  <si>
    <t xml:space="preserve">Restricción de acceso al panel de administración según rol.</t>
  </si>
  <si>
    <t xml:space="preserve">1. Con una usuaria sin privilegios, intentar acceder a la ruta del panel admin.</t>
  </si>
  <si>
    <t xml:space="preserve">Rol: clienta</t>
  </si>
  <si>
    <t xml:space="preserve">El sistema evalúa el rol de la sesión.</t>
  </si>
  <si>
    <t xml:space="preserve">El panel de administración queda restringido a usuarias con rol administradora.</t>
  </si>
  <si>
    <t xml:space="preserve">2. Observar la respuesta.</t>
  </si>
  <si>
    <t xml:space="preserve">El acceso es denegado; el panel solo es accesible con rol administradora.</t>
  </si>
  <si>
    <t xml:space="preserve">Casos de Pruebas Estándar de QA</t>
  </si>
  <si>
    <t xml:space="preserve">Total Pruebas Estándar OK</t>
  </si>
  <si>
    <t xml:space="preserve">Total  Pruebas Estándar NO CUMPLE</t>
  </si>
  <si>
    <t xml:space="preserve">Total  Pruebas Estándar NO APLICA</t>
  </si>
  <si>
    <t xml:space="preserve">Total casos de Prueba</t>
  </si>
  <si>
    <t xml:space="preserve">Total casos de Prueba OK</t>
  </si>
  <si>
    <t xml:space="preserve">Total casos de Prueba NO OK</t>
  </si>
  <si>
    <t xml:space="preserve">Total casos de Prueba NO Aplica</t>
  </si>
  <si>
    <t xml:space="preserve">Total casos de Prueba No revisados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</si>
</sst>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@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u val="single"/>
      <sz val="24"/>
      <name val="Arial"/>
      <family val="2"/>
      <charset val="1"/>
    </font>
    <font>
      <u val="single"/>
      <sz val="24"/>
      <name val="Impact"/>
      <family val="2"/>
      <charset val="1"/>
    </font>
    <font>
      <b val="true"/>
      <sz val="12"/>
      <name val="Arial"/>
      <family val="2"/>
      <charset val="1"/>
    </font>
    <font>
      <b val="true"/>
      <i val="true"/>
      <sz val="22"/>
      <color rgb="FF000080"/>
      <name val="Verdana"/>
      <family val="2"/>
      <charset val="1"/>
    </font>
    <font>
      <b val="true"/>
      <sz val="12"/>
      <name val="Antique Olive"/>
      <family val="2"/>
      <charset val="1"/>
    </font>
    <font>
      <sz val="12"/>
      <name val="Impact"/>
      <family val="2"/>
      <charset val="1"/>
    </font>
    <font>
      <sz val="12"/>
      <name val="Antique Olive"/>
      <family val="2"/>
      <charset val="1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  <font>
      <sz val="8"/>
      <name val="Tahoma"/>
      <family val="0"/>
      <charset val="1"/>
    </font>
    <font>
      <b val="true"/>
      <sz val="8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16"/>
      <name val="Tahoma"/>
      <family val="0"/>
      <charset val="1"/>
    </font>
    <font>
      <b val="true"/>
      <i val="true"/>
      <sz val="8"/>
      <color rgb="FF000080"/>
      <name val="Tahoma"/>
      <family val="0"/>
      <charset val="1"/>
    </font>
    <font>
      <b val="true"/>
      <u val="single"/>
      <sz val="8"/>
      <name val="Tahoma"/>
      <family val="0"/>
      <charset val="1"/>
    </font>
    <font>
      <b val="true"/>
      <u val="single"/>
      <sz val="8"/>
      <color rgb="FF000000"/>
      <name val="Tahoma"/>
      <family val="0"/>
      <charset val="1"/>
    </font>
    <font>
      <sz val="9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sz val="8"/>
      <name val="Arial"/>
      <family val="0"/>
      <charset val="1"/>
    </font>
    <font>
      <sz val="10"/>
      <name val="Tahom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 tint="0.3999"/>
        <bgColor rgb="FF9999F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A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AR" sz="1800" spc="-1" strike="noStrike">
                <a:solidFill>
                  <a:srgbClr val="000000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7492236989"/>
          <c:y val="0.0539660386136311"/>
        </c:manualLayout>
      </c:layout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layout>
        <c:manualLayout>
          <c:layoutTarget val="inner"/>
          <c:xMode val="edge"/>
          <c:yMode val="edge"/>
          <c:x val="0.171283070426034"/>
          <c:y val="0.285996743428704"/>
          <c:w val="0.314805614209415"/>
          <c:h val="0.541404977901838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33"/>
          <c:dPt>
            <c:idx val="0"/>
            <c:explosion val="17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explosion val="33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explosion val="33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explosion val="3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</c:pie3DChart>
    </c:plotArea>
    <c:legend>
      <c:legendPos val="r"/>
      <c:layout>
        <c:manualLayout>
          <c:xMode val="edge"/>
          <c:yMode val="edge"/>
          <c:x val="0.603806228373703"/>
          <c:y val="0.258914114608913"/>
          <c:w val="0.382352941176471"/>
          <c:h val="0.64738636543671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174600</xdr:colOff>
      <xdr:row>0</xdr:row>
      <xdr:rowOff>0</xdr:rowOff>
    </xdr:from>
    <xdr:to>
      <xdr:col>2</xdr:col>
      <xdr:colOff>640440</xdr:colOff>
      <xdr:row>0</xdr:row>
      <xdr:rowOff>0</xdr:rowOff>
    </xdr:to>
    <xdr:pic>
      <xdr:nvPicPr>
        <xdr:cNvPr id="0" name="image00.png" descr=""/>
        <xdr:cNvPicPr/>
      </xdr:nvPicPr>
      <xdr:blipFill>
        <a:blip r:embed="rId1"/>
        <a:stretch/>
      </xdr:blipFill>
      <xdr:spPr>
        <a:xfrm>
          <a:off x="1552680" y="0"/>
          <a:ext cx="465840" cy="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88200</xdr:colOff>
      <xdr:row>1</xdr:row>
      <xdr:rowOff>199080</xdr:rowOff>
    </xdr:to>
    <xdr:pic>
      <xdr:nvPicPr>
        <xdr:cNvPr id="1" name="image01.png" descr=""/>
        <xdr:cNvPicPr/>
      </xdr:nvPicPr>
      <xdr:blipFill>
        <a:blip r:embed="rId2"/>
        <a:stretch/>
      </xdr:blipFill>
      <xdr:spPr>
        <a:xfrm>
          <a:off x="0" y="0"/>
          <a:ext cx="1466280" cy="361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130320</xdr:colOff>
      <xdr:row>6</xdr:row>
      <xdr:rowOff>34920</xdr:rowOff>
    </xdr:from>
    <xdr:to>
      <xdr:col>14</xdr:col>
      <xdr:colOff>148680</xdr:colOff>
      <xdr:row>25</xdr:row>
      <xdr:rowOff>53280</xdr:rowOff>
    </xdr:to>
    <xdr:graphicFrame>
      <xdr:nvGraphicFramePr>
        <xdr:cNvPr id="2" name="Chart 1"/>
        <xdr:cNvGraphicFramePr/>
      </xdr:nvGraphicFramePr>
      <xdr:xfrm>
        <a:off x="4914360" y="1225440"/>
        <a:ext cx="579636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79" activeCellId="0" sqref="D79"/>
    </sheetView>
  </sheetViews>
  <sheetFormatPr defaultColWidth="11.4453125" defaultRowHeight="12.7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25.33"/>
    <col collapsed="false" customWidth="true" hidden="false" outlineLevel="0" max="3" min="3" style="1" width="113.56"/>
    <col collapsed="false" customWidth="true" hidden="false" outlineLevel="0" max="4" min="4" style="1" width="8.56"/>
    <col collapsed="false" customWidth="true" hidden="false" outlineLevel="0" max="5" min="5" style="1" width="26.88"/>
    <col collapsed="false" customWidth="true" hidden="false" outlineLevel="0" max="6" min="6" style="1" width="38.44"/>
    <col collapsed="false" customWidth="true" hidden="false" outlineLevel="0" max="7" min="7" style="1" width="5.11"/>
    <col collapsed="false" customWidth="true" hidden="false" outlineLevel="0" max="8" min="8" style="1" width="4"/>
    <col collapsed="false" customWidth="true" hidden="false" outlineLevel="0" max="9" min="9" style="1" width="4.56"/>
    <col collapsed="false" customWidth="true" hidden="false" outlineLevel="0" max="10" min="10" style="1" width="34.66"/>
    <col collapsed="false" customWidth="false" hidden="false" outlineLevel="0" max="16384" min="11" style="1" width="11.44"/>
  </cols>
  <sheetData>
    <row r="1" customFormat="false" ht="30" hidden="false" customHeight="true" outlineLevel="0" collapsed="false">
      <c r="B1" s="2" t="s">
        <v>0</v>
      </c>
      <c r="C1" s="2"/>
      <c r="D1" s="3"/>
      <c r="E1" s="3"/>
      <c r="F1" s="3"/>
      <c r="G1" s="4"/>
      <c r="H1" s="4"/>
      <c r="I1" s="4"/>
      <c r="J1" s="4"/>
      <c r="K1" s="5"/>
      <c r="L1" s="5"/>
      <c r="M1" s="5"/>
      <c r="N1" s="5"/>
      <c r="O1" s="5"/>
    </row>
    <row r="2" customFormat="false" ht="18" hidden="false" customHeight="true" outlineLevel="0" collapsed="false">
      <c r="B2" s="6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B3" s="7" t="s">
        <v>1</v>
      </c>
      <c r="C3" s="7"/>
      <c r="D3" s="7"/>
      <c r="E3" s="8"/>
      <c r="F3" s="8"/>
      <c r="G3" s="8"/>
      <c r="H3" s="8"/>
      <c r="I3" s="8"/>
      <c r="J3" s="8"/>
    </row>
    <row r="4" customFormat="false" ht="16.5" hidden="false" customHeight="true" outlineLevel="0" collapsed="false">
      <c r="B4" s="9" t="s">
        <v>2</v>
      </c>
      <c r="C4" s="9"/>
      <c r="D4" s="9"/>
      <c r="E4" s="10"/>
      <c r="F4" s="8"/>
      <c r="G4" s="8"/>
      <c r="H4" s="8"/>
      <c r="I4" s="8"/>
      <c r="J4" s="8"/>
    </row>
    <row r="5" customFormat="false" ht="30.75" hidden="false" customHeight="true" outlineLevel="0" collapsed="false">
      <c r="B5" s="11"/>
      <c r="C5" s="12"/>
      <c r="D5" s="10"/>
      <c r="E5" s="10"/>
      <c r="F5" s="8"/>
      <c r="G5" s="8"/>
      <c r="H5" s="8"/>
      <c r="I5" s="8"/>
      <c r="J5" s="8"/>
    </row>
    <row r="6" customFormat="false" ht="21" hidden="false" customHeight="true" outlineLevel="0" collapsed="false">
      <c r="A6" s="13" t="s">
        <v>3</v>
      </c>
      <c r="B6" s="14" t="s">
        <v>4</v>
      </c>
      <c r="C6" s="14"/>
      <c r="D6" s="15" t="s">
        <v>5</v>
      </c>
      <c r="E6" s="16"/>
      <c r="F6" s="17"/>
      <c r="G6" s="18"/>
      <c r="H6" s="18"/>
      <c r="I6" s="18"/>
      <c r="J6" s="18"/>
    </row>
    <row r="7" customFormat="false" ht="15" hidden="false" customHeight="true" outlineLevel="0" collapsed="false">
      <c r="A7" s="19" t="s">
        <v>6</v>
      </c>
      <c r="B7" s="20" t="s">
        <v>7</v>
      </c>
      <c r="C7" s="20"/>
      <c r="D7" s="21" t="s">
        <v>8</v>
      </c>
      <c r="E7" s="22"/>
    </row>
    <row r="8" customFormat="false" ht="15" hidden="false" customHeight="true" outlineLevel="0" collapsed="false">
      <c r="A8" s="23" t="s">
        <v>9</v>
      </c>
      <c r="B8" s="24" t="s">
        <v>10</v>
      </c>
      <c r="C8" s="24"/>
      <c r="D8" s="25" t="s">
        <v>8</v>
      </c>
      <c r="E8" s="22"/>
    </row>
    <row r="9" customFormat="false" ht="15" hidden="false" customHeight="true" outlineLevel="0" collapsed="false">
      <c r="A9" s="23" t="s">
        <v>11</v>
      </c>
      <c r="B9" s="24" t="s">
        <v>12</v>
      </c>
      <c r="C9" s="24"/>
      <c r="D9" s="25" t="s">
        <v>8</v>
      </c>
      <c r="E9" s="22"/>
    </row>
    <row r="10" customFormat="false" ht="15" hidden="false" customHeight="true" outlineLevel="0" collapsed="false">
      <c r="A10" s="23"/>
      <c r="B10" s="24"/>
      <c r="C10" s="24"/>
      <c r="D10" s="25"/>
      <c r="E10" s="22"/>
    </row>
    <row r="11" customFormat="false" ht="15" hidden="false" customHeight="true" outlineLevel="0" collapsed="false">
      <c r="A11" s="23"/>
      <c r="B11" s="24"/>
      <c r="C11" s="24"/>
      <c r="D11" s="25"/>
      <c r="E11" s="22"/>
    </row>
    <row r="12" customFormat="false" ht="15" hidden="false" customHeight="true" outlineLevel="0" collapsed="false">
      <c r="A12" s="23"/>
      <c r="B12" s="24"/>
      <c r="C12" s="24"/>
      <c r="D12" s="25"/>
      <c r="E12" s="22"/>
    </row>
    <row r="13" customFormat="false" ht="15" hidden="false" customHeight="true" outlineLevel="0" collapsed="false">
      <c r="A13" s="23"/>
      <c r="B13" s="24"/>
      <c r="C13" s="24"/>
      <c r="D13" s="25"/>
      <c r="E13" s="22"/>
    </row>
    <row r="14" customFormat="false" ht="15" hidden="false" customHeight="true" outlineLevel="0" collapsed="false">
      <c r="A14" s="23"/>
      <c r="B14" s="24"/>
      <c r="C14" s="24"/>
      <c r="D14" s="25"/>
      <c r="E14" s="22"/>
    </row>
    <row r="15" customFormat="false" ht="15" hidden="false" customHeight="true" outlineLevel="0" collapsed="false">
      <c r="A15" s="23"/>
      <c r="B15" s="24"/>
      <c r="C15" s="24"/>
      <c r="D15" s="25"/>
      <c r="E15" s="22"/>
    </row>
    <row r="16" customFormat="false" ht="15" hidden="false" customHeight="true" outlineLevel="0" collapsed="false">
      <c r="A16" s="23"/>
      <c r="B16" s="24"/>
      <c r="C16" s="24"/>
      <c r="D16" s="25"/>
      <c r="E16" s="22"/>
    </row>
    <row r="17" customFormat="false" ht="15" hidden="false" customHeight="true" outlineLevel="0" collapsed="false">
      <c r="A17" s="23"/>
      <c r="B17" s="24"/>
      <c r="C17" s="24"/>
      <c r="D17" s="25"/>
      <c r="E17" s="22"/>
    </row>
    <row r="18" customFormat="false" ht="15" hidden="false" customHeight="true" outlineLevel="0" collapsed="false">
      <c r="A18" s="23"/>
      <c r="B18" s="24"/>
      <c r="C18" s="24"/>
      <c r="D18" s="25"/>
      <c r="E18" s="22"/>
    </row>
    <row r="19" customFormat="false" ht="15" hidden="false" customHeight="true" outlineLevel="0" collapsed="false">
      <c r="A19" s="23"/>
      <c r="B19" s="24"/>
      <c r="C19" s="24"/>
      <c r="D19" s="25"/>
      <c r="E19" s="22"/>
    </row>
    <row r="20" customFormat="false" ht="15" hidden="false" customHeight="true" outlineLevel="0" collapsed="false">
      <c r="A20" s="23"/>
      <c r="B20" s="24"/>
      <c r="C20" s="24"/>
      <c r="D20" s="25"/>
      <c r="E20" s="22"/>
    </row>
    <row r="21" customFormat="false" ht="15" hidden="false" customHeight="true" outlineLevel="0" collapsed="false">
      <c r="A21" s="23"/>
      <c r="B21" s="24"/>
      <c r="C21" s="24"/>
      <c r="D21" s="25"/>
      <c r="E21" s="22"/>
    </row>
    <row r="22" customFormat="false" ht="15" hidden="false" customHeight="true" outlineLevel="0" collapsed="false">
      <c r="A22" s="26"/>
      <c r="B22" s="27"/>
      <c r="C22" s="27"/>
      <c r="D22" s="28"/>
      <c r="E22" s="22"/>
    </row>
    <row r="23" customFormat="false" ht="21.75" hidden="false" customHeight="true" outlineLevel="0" collapsed="false">
      <c r="D23" s="22"/>
      <c r="E23" s="22"/>
    </row>
    <row r="24" customFormat="false" ht="21" hidden="false" customHeight="true" outlineLevel="0" collapsed="false">
      <c r="A24" s="13" t="s">
        <v>3</v>
      </c>
      <c r="B24" s="14" t="s">
        <v>13</v>
      </c>
      <c r="C24" s="14"/>
      <c r="D24" s="29"/>
      <c r="E24" s="22"/>
    </row>
    <row r="25" customFormat="false" ht="15" hidden="false" customHeight="true" outlineLevel="0" collapsed="false">
      <c r="A25" s="19" t="s">
        <v>14</v>
      </c>
      <c r="B25" s="20" t="s">
        <v>15</v>
      </c>
      <c r="C25" s="20"/>
      <c r="D25" s="30" t="s">
        <v>8</v>
      </c>
      <c r="E25" s="22"/>
    </row>
    <row r="26" customFormat="false" ht="15" hidden="false" customHeight="true" outlineLevel="0" collapsed="false">
      <c r="A26" s="23" t="s">
        <v>16</v>
      </c>
      <c r="B26" s="24" t="s">
        <v>17</v>
      </c>
      <c r="C26" s="24"/>
      <c r="D26" s="25" t="s">
        <v>8</v>
      </c>
      <c r="E26" s="22"/>
    </row>
    <row r="27" customFormat="false" ht="15" hidden="false" customHeight="true" outlineLevel="0" collapsed="false">
      <c r="A27" s="23" t="s">
        <v>18</v>
      </c>
      <c r="B27" s="24" t="s">
        <v>19</v>
      </c>
      <c r="C27" s="24"/>
      <c r="D27" s="25" t="s">
        <v>20</v>
      </c>
      <c r="E27" s="22"/>
    </row>
    <row r="28" customFormat="false" ht="15" hidden="false" customHeight="true" outlineLevel="0" collapsed="false">
      <c r="A28" s="23"/>
      <c r="B28" s="24"/>
      <c r="C28" s="24"/>
      <c r="D28" s="25"/>
      <c r="E28" s="22"/>
    </row>
    <row r="29" customFormat="false" ht="15" hidden="false" customHeight="true" outlineLevel="0" collapsed="false">
      <c r="A29" s="23"/>
      <c r="B29" s="24"/>
      <c r="C29" s="24"/>
      <c r="D29" s="25"/>
    </row>
    <row r="30" customFormat="false" ht="15" hidden="false" customHeight="true" outlineLevel="0" collapsed="false">
      <c r="A30" s="23"/>
      <c r="B30" s="24"/>
      <c r="C30" s="24"/>
      <c r="D30" s="25"/>
    </row>
    <row r="31" customFormat="false" ht="15" hidden="false" customHeight="true" outlineLevel="0" collapsed="false">
      <c r="A31" s="23"/>
      <c r="B31" s="24"/>
      <c r="C31" s="24"/>
      <c r="D31" s="25"/>
    </row>
    <row r="32" customFormat="false" ht="15" hidden="false" customHeight="true" outlineLevel="0" collapsed="false">
      <c r="A32" s="23"/>
      <c r="B32" s="24"/>
      <c r="C32" s="24"/>
      <c r="D32" s="25"/>
    </row>
    <row r="33" customFormat="false" ht="15" hidden="false" customHeight="true" outlineLevel="0" collapsed="false">
      <c r="A33" s="23"/>
      <c r="B33" s="24"/>
      <c r="C33" s="24"/>
      <c r="D33" s="25"/>
    </row>
    <row r="34" customFormat="false" ht="15" hidden="false" customHeight="true" outlineLevel="0" collapsed="false">
      <c r="A34" s="23"/>
      <c r="B34" s="24"/>
      <c r="C34" s="24"/>
      <c r="D34" s="25"/>
    </row>
    <row r="35" customFormat="false" ht="15" hidden="false" customHeight="true" outlineLevel="0" collapsed="false">
      <c r="A35" s="23"/>
      <c r="B35" s="24"/>
      <c r="C35" s="24"/>
      <c r="D35" s="25"/>
    </row>
    <row r="36" customFormat="false" ht="15" hidden="false" customHeight="true" outlineLevel="0" collapsed="false">
      <c r="A36" s="23"/>
      <c r="B36" s="24"/>
      <c r="C36" s="24"/>
      <c r="D36" s="25"/>
    </row>
    <row r="37" customFormat="false" ht="15" hidden="false" customHeight="true" outlineLevel="0" collapsed="false">
      <c r="A37" s="23"/>
      <c r="B37" s="24"/>
      <c r="C37" s="24"/>
      <c r="D37" s="25"/>
    </row>
    <row r="38" customFormat="false" ht="15" hidden="false" customHeight="true" outlineLevel="0" collapsed="false">
      <c r="A38" s="23"/>
      <c r="B38" s="24"/>
      <c r="C38" s="24"/>
      <c r="D38" s="25"/>
    </row>
    <row r="39" customFormat="false" ht="15" hidden="false" customHeight="true" outlineLevel="0" collapsed="false">
      <c r="A39" s="23"/>
      <c r="B39" s="24"/>
      <c r="C39" s="24"/>
      <c r="D39" s="25"/>
    </row>
    <row r="40" customFormat="false" ht="15" hidden="false" customHeight="true" outlineLevel="0" collapsed="false">
      <c r="A40" s="23"/>
      <c r="B40" s="24"/>
      <c r="C40" s="24"/>
      <c r="D40" s="25"/>
    </row>
    <row r="41" customFormat="false" ht="15" hidden="false" customHeight="true" outlineLevel="0" collapsed="false">
      <c r="A41" s="26"/>
      <c r="B41" s="27"/>
      <c r="C41" s="27"/>
      <c r="D41" s="28"/>
    </row>
    <row r="42" customFormat="false" ht="19.5" hidden="false" customHeight="true" outlineLevel="0" collapsed="false"/>
    <row r="43" customFormat="false" ht="18" hidden="false" customHeight="true" outlineLevel="0" collapsed="false">
      <c r="A43" s="13" t="s">
        <v>3</v>
      </c>
      <c r="B43" s="14" t="s">
        <v>21</v>
      </c>
      <c r="C43" s="14"/>
      <c r="D43" s="31"/>
    </row>
    <row r="44" customFormat="false" ht="15" hidden="false" customHeight="true" outlineLevel="0" collapsed="false">
      <c r="A44" s="19" t="s">
        <v>22</v>
      </c>
      <c r="B44" s="20" t="s">
        <v>23</v>
      </c>
      <c r="C44" s="20"/>
      <c r="D44" s="32" t="s">
        <v>8</v>
      </c>
    </row>
    <row r="45" customFormat="false" ht="15" hidden="false" customHeight="true" outlineLevel="0" collapsed="false">
      <c r="A45" s="23" t="s">
        <v>24</v>
      </c>
      <c r="B45" s="24" t="s">
        <v>25</v>
      </c>
      <c r="C45" s="24"/>
      <c r="D45" s="23" t="s">
        <v>8</v>
      </c>
    </row>
    <row r="46" customFormat="false" ht="15" hidden="false" customHeight="true" outlineLevel="0" collapsed="false">
      <c r="A46" s="23" t="s">
        <v>26</v>
      </c>
      <c r="B46" s="24" t="s">
        <v>27</v>
      </c>
      <c r="C46" s="24"/>
      <c r="D46" s="23" t="s">
        <v>8</v>
      </c>
    </row>
    <row r="47" customFormat="false" ht="15" hidden="false" customHeight="true" outlineLevel="0" collapsed="false">
      <c r="A47" s="23"/>
      <c r="B47" s="24"/>
      <c r="C47" s="24"/>
      <c r="D47" s="23"/>
    </row>
    <row r="48" customFormat="false" ht="15" hidden="false" customHeight="true" outlineLevel="0" collapsed="false">
      <c r="A48" s="23"/>
      <c r="B48" s="24"/>
      <c r="C48" s="24"/>
      <c r="D48" s="23"/>
    </row>
    <row r="49" customFormat="false" ht="15" hidden="false" customHeight="true" outlineLevel="0" collapsed="false">
      <c r="A49" s="23"/>
      <c r="B49" s="24"/>
      <c r="C49" s="24"/>
      <c r="D49" s="23"/>
    </row>
    <row r="50" customFormat="false" ht="15" hidden="false" customHeight="true" outlineLevel="0" collapsed="false">
      <c r="A50" s="23"/>
      <c r="B50" s="24"/>
      <c r="C50" s="24"/>
      <c r="D50" s="23"/>
    </row>
    <row r="51" customFormat="false" ht="15" hidden="false" customHeight="true" outlineLevel="0" collapsed="false">
      <c r="A51" s="23"/>
      <c r="B51" s="24"/>
      <c r="C51" s="24"/>
      <c r="D51" s="23"/>
    </row>
    <row r="52" customFormat="false" ht="15" hidden="false" customHeight="true" outlineLevel="0" collapsed="false">
      <c r="A52" s="23"/>
      <c r="B52" s="24"/>
      <c r="C52" s="24"/>
      <c r="D52" s="23"/>
    </row>
    <row r="53" customFormat="false" ht="15" hidden="false" customHeight="true" outlineLevel="0" collapsed="false">
      <c r="A53" s="23"/>
      <c r="B53" s="24"/>
      <c r="C53" s="24"/>
      <c r="D53" s="23"/>
    </row>
    <row r="54" customFormat="false" ht="15" hidden="false" customHeight="true" outlineLevel="0" collapsed="false">
      <c r="A54" s="23"/>
      <c r="B54" s="24"/>
      <c r="C54" s="24"/>
      <c r="D54" s="23"/>
    </row>
    <row r="55" customFormat="false" ht="15" hidden="false" customHeight="true" outlineLevel="0" collapsed="false">
      <c r="A55" s="23"/>
      <c r="B55" s="24"/>
      <c r="C55" s="24"/>
      <c r="D55" s="23"/>
    </row>
    <row r="56" customFormat="false" ht="15" hidden="false" customHeight="true" outlineLevel="0" collapsed="false">
      <c r="A56" s="23"/>
      <c r="B56" s="24"/>
      <c r="C56" s="24"/>
      <c r="D56" s="23"/>
    </row>
    <row r="57" customFormat="false" ht="15" hidden="false" customHeight="true" outlineLevel="0" collapsed="false">
      <c r="A57" s="23"/>
      <c r="B57" s="24"/>
      <c r="C57" s="24"/>
      <c r="D57" s="23"/>
    </row>
    <row r="58" customFormat="false" ht="15" hidden="false" customHeight="true" outlineLevel="0" collapsed="false">
      <c r="A58" s="26"/>
      <c r="B58" s="27"/>
      <c r="C58" s="27"/>
      <c r="D58" s="26"/>
    </row>
    <row r="59" customFormat="false" ht="19.5" hidden="false" customHeight="true" outlineLevel="0" collapsed="false"/>
    <row r="60" customFormat="false" ht="18" hidden="false" customHeight="true" outlineLevel="0" collapsed="false">
      <c r="A60" s="13" t="s">
        <v>3</v>
      </c>
      <c r="B60" s="14" t="s">
        <v>28</v>
      </c>
      <c r="C60" s="14"/>
      <c r="D60" s="31"/>
    </row>
    <row r="61" customFormat="false" ht="15" hidden="false" customHeight="true" outlineLevel="0" collapsed="false">
      <c r="A61" s="19" t="s">
        <v>29</v>
      </c>
      <c r="B61" s="20" t="s">
        <v>30</v>
      </c>
      <c r="C61" s="20"/>
      <c r="D61" s="23" t="s">
        <v>20</v>
      </c>
    </row>
    <row r="62" customFormat="false" ht="15" hidden="false" customHeight="true" outlineLevel="0" collapsed="false">
      <c r="A62" s="23" t="s">
        <v>31</v>
      </c>
      <c r="B62" s="24" t="s">
        <v>32</v>
      </c>
      <c r="C62" s="24"/>
      <c r="D62" s="23" t="s">
        <v>20</v>
      </c>
    </row>
    <row r="63" customFormat="false" ht="15" hidden="false" customHeight="true" outlineLevel="0" collapsed="false">
      <c r="A63" s="32" t="s">
        <v>33</v>
      </c>
      <c r="B63" s="33" t="s">
        <v>34</v>
      </c>
      <c r="C63" s="34"/>
      <c r="D63" s="23" t="s">
        <v>20</v>
      </c>
    </row>
    <row r="64" customFormat="false" ht="15" hidden="false" customHeight="true" outlineLevel="0" collapsed="false">
      <c r="A64" s="32"/>
      <c r="B64" s="33"/>
      <c r="C64" s="34"/>
      <c r="D64" s="23"/>
    </row>
    <row r="65" customFormat="false" ht="15" hidden="false" customHeight="true" outlineLevel="0" collapsed="false">
      <c r="A65" s="32"/>
      <c r="B65" s="33"/>
      <c r="C65" s="34"/>
      <c r="D65" s="23"/>
    </row>
    <row r="66" customFormat="false" ht="15" hidden="false" customHeight="true" outlineLevel="0" collapsed="false">
      <c r="A66" s="32"/>
      <c r="B66" s="33"/>
      <c r="C66" s="34"/>
      <c r="D66" s="23"/>
    </row>
    <row r="67" customFormat="false" ht="15" hidden="false" customHeight="true" outlineLevel="0" collapsed="false">
      <c r="A67" s="26"/>
      <c r="B67" s="27"/>
      <c r="C67" s="27"/>
      <c r="D67" s="26"/>
    </row>
    <row r="68" customFormat="false" ht="15" hidden="false" customHeight="true" outlineLevel="0" collapsed="false">
      <c r="B68" s="35"/>
    </row>
    <row r="69" customFormat="false" ht="19.5" hidden="false" customHeight="true" outlineLevel="0" collapsed="false"/>
    <row r="70" customFormat="false" ht="18" hidden="false" customHeight="true" outlineLevel="0" collapsed="false">
      <c r="A70" s="13" t="s">
        <v>3</v>
      </c>
      <c r="B70" s="14" t="s">
        <v>35</v>
      </c>
      <c r="C70" s="14"/>
      <c r="D70" s="31"/>
    </row>
    <row r="71" customFormat="false" ht="15" hidden="false" customHeight="true" outlineLevel="0" collapsed="false">
      <c r="A71" s="19" t="s">
        <v>36</v>
      </c>
      <c r="B71" s="20" t="s">
        <v>37</v>
      </c>
      <c r="C71" s="20"/>
      <c r="D71" s="19" t="s">
        <v>20</v>
      </c>
    </row>
    <row r="72" customFormat="false" ht="15" hidden="false" customHeight="true" outlineLevel="0" collapsed="false">
      <c r="A72" s="23" t="s">
        <v>38</v>
      </c>
      <c r="B72" s="24" t="s">
        <v>39</v>
      </c>
      <c r="C72" s="24"/>
      <c r="D72" s="23" t="s">
        <v>20</v>
      </c>
    </row>
    <row r="73" customFormat="false" ht="15" hidden="false" customHeight="true" outlineLevel="0" collapsed="false">
      <c r="A73" s="23"/>
      <c r="B73" s="36"/>
      <c r="C73" s="37"/>
      <c r="D73" s="23"/>
    </row>
    <row r="74" customFormat="false" ht="15" hidden="false" customHeight="true" outlineLevel="0" collapsed="false">
      <c r="A74" s="23"/>
      <c r="B74" s="36"/>
      <c r="C74" s="37"/>
      <c r="D74" s="23"/>
    </row>
    <row r="75" customFormat="false" ht="15" hidden="false" customHeight="true" outlineLevel="0" collapsed="false">
      <c r="A75" s="23"/>
      <c r="B75" s="24"/>
      <c r="C75" s="24"/>
      <c r="D75" s="23"/>
    </row>
    <row r="76" customFormat="false" ht="15" hidden="false" customHeight="true" outlineLevel="0" collapsed="false">
      <c r="A76" s="23"/>
      <c r="B76" s="24"/>
      <c r="C76" s="24"/>
      <c r="D76" s="23"/>
    </row>
    <row r="77" customFormat="false" ht="15" hidden="false" customHeight="true" outlineLevel="0" collapsed="false">
      <c r="A77" s="26"/>
      <c r="B77" s="27"/>
      <c r="C77" s="27"/>
      <c r="D77" s="26"/>
    </row>
    <row r="78" customFormat="false" ht="19.5" hidden="false" customHeight="true" outlineLevel="0" collapsed="false"/>
    <row r="79" customFormat="false" ht="18" hidden="false" customHeight="true" outlineLevel="0" collapsed="false">
      <c r="A79" s="13" t="s">
        <v>3</v>
      </c>
      <c r="B79" s="14" t="s">
        <v>40</v>
      </c>
      <c r="C79" s="14"/>
      <c r="D79" s="31"/>
    </row>
    <row r="80" customFormat="false" ht="13.5" hidden="false" customHeight="true" outlineLevel="0" collapsed="false">
      <c r="A80" s="19" t="s">
        <v>41</v>
      </c>
      <c r="B80" s="20"/>
      <c r="C80" s="20"/>
      <c r="D80" s="32"/>
    </row>
    <row r="81" customFormat="false" ht="13.5" hidden="false" customHeight="true" outlineLevel="0" collapsed="false">
      <c r="A81" s="23" t="s">
        <v>42</v>
      </c>
      <c r="B81" s="24"/>
      <c r="C81" s="24"/>
      <c r="D81" s="32"/>
    </row>
    <row r="82" customFormat="false" ht="13.5" hidden="false" customHeight="true" outlineLevel="0" collapsed="false">
      <c r="A82" s="23" t="s">
        <v>43</v>
      </c>
      <c r="B82" s="36"/>
      <c r="C82" s="37"/>
      <c r="D82" s="32"/>
    </row>
    <row r="83" customFormat="false" ht="13.5" hidden="false" customHeight="true" outlineLevel="0" collapsed="false">
      <c r="A83" s="23"/>
      <c r="B83" s="36"/>
      <c r="C83" s="37"/>
      <c r="D83" s="32"/>
    </row>
    <row r="84" customFormat="false" ht="13.5" hidden="false" customHeight="true" outlineLevel="0" collapsed="false">
      <c r="A84" s="23"/>
      <c r="B84" s="36"/>
      <c r="C84" s="37"/>
      <c r="D84" s="32"/>
    </row>
    <row r="85" customFormat="false" ht="13.5" hidden="false" customHeight="true" outlineLevel="0" collapsed="false">
      <c r="B85" s="24"/>
      <c r="C85" s="24"/>
      <c r="D85" s="23"/>
    </row>
    <row r="86" customFormat="false" ht="13.5" hidden="false" customHeight="true" outlineLevel="0" collapsed="false">
      <c r="A86" s="23"/>
      <c r="B86" s="24"/>
      <c r="C86" s="24"/>
      <c r="D86" s="38"/>
    </row>
    <row r="87" customFormat="false" ht="14.25" hidden="false" customHeight="true" outlineLevel="0" collapsed="false">
      <c r="A87" s="26"/>
      <c r="B87" s="27"/>
      <c r="C87" s="27"/>
      <c r="D87" s="26"/>
    </row>
    <row r="88" customFormat="false" ht="13.5" hidden="false" customHeight="true" outlineLevel="0" collapsed="false">
      <c r="B88" s="39"/>
      <c r="C88" s="39"/>
    </row>
    <row r="89" customFormat="false" ht="13.5" hidden="false" customHeight="true" outlineLevel="0" collapsed="false">
      <c r="B89" s="39"/>
      <c r="C89" s="39"/>
    </row>
  </sheetData>
  <mergeCells count="70"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60:C60"/>
    <mergeCell ref="B61:C61"/>
    <mergeCell ref="B62:C62"/>
    <mergeCell ref="B67:C67"/>
    <mergeCell ref="B70:C70"/>
    <mergeCell ref="B71:C71"/>
    <mergeCell ref="B72:C72"/>
    <mergeCell ref="B75:C75"/>
    <mergeCell ref="B76:C76"/>
    <mergeCell ref="B77:C77"/>
    <mergeCell ref="B79:C79"/>
    <mergeCell ref="B80:C80"/>
    <mergeCell ref="B81:C81"/>
    <mergeCell ref="B85:C85"/>
    <mergeCell ref="B86:C86"/>
    <mergeCell ref="B87:C87"/>
  </mergeCells>
  <printOptions headings="false" gridLines="false" gridLinesSet="true" horizontalCentered="false" verticalCentered="false"/>
  <pageMargins left="0.670138888888889" right="0.75" top="1" bottom="1" header="0.511811023622047" footer="0.511811023622047"/>
  <pageSetup paperSize="1" scale="5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3"/>
  <sheetViews>
    <sheetView showFormulas="false" showGridLines="true" showRowColHeaders="true" showZeros="true" rightToLeft="false" tabSelected="false" showOutlineSymbols="true" defaultGridColor="true" view="normal" topLeftCell="A3" colorId="64" zoomScale="85" zoomScaleNormal="85" zoomScalePageLayoutView="100" workbookViewId="0">
      <selection pane="topLeft" activeCell="I16" activeCellId="0" sqref="I16"/>
    </sheetView>
  </sheetViews>
  <sheetFormatPr defaultColWidth="17.3359375" defaultRowHeight="12.75" zeroHeight="false" outlineLevelRow="0" outlineLevelCol="0"/>
  <cols>
    <col collapsed="false" customWidth="true" hidden="false" outlineLevel="0" max="1" min="1" style="40" width="8.11"/>
    <col collapsed="false" customWidth="true" hidden="false" outlineLevel="0" max="2" min="2" style="40" width="11.44"/>
    <col collapsed="false" customWidth="true" hidden="false" outlineLevel="0" max="3" min="3" style="40" width="12.67"/>
    <col collapsed="false" customWidth="true" hidden="false" outlineLevel="0" max="4" min="4" style="40" width="19"/>
    <col collapsed="false" customWidth="true" hidden="false" outlineLevel="0" max="5" min="5" style="40" width="9"/>
    <col collapsed="false" customWidth="true" hidden="false" outlineLevel="0" max="6" min="6" style="40" width="27"/>
    <col collapsed="false" customWidth="true" hidden="false" outlineLevel="0" max="8" min="7" style="40" width="26.33"/>
    <col collapsed="false" customWidth="true" hidden="false" outlineLevel="0" max="9" min="9" style="40" width="41.67"/>
    <col collapsed="false" customWidth="true" hidden="false" outlineLevel="0" max="10" min="10" style="40" width="5"/>
    <col collapsed="false" customWidth="true" hidden="false" outlineLevel="0" max="11" min="11" style="40" width="4"/>
    <col collapsed="false" customWidth="true" hidden="false" outlineLevel="0" max="12" min="12" style="40" width="4.56"/>
    <col collapsed="false" customWidth="true" hidden="true" outlineLevel="0" max="13" min="13" style="40" width="12.88"/>
    <col collapsed="false" customWidth="true" hidden="false" outlineLevel="0" max="14" min="14" style="40" width="36.44"/>
    <col collapsed="false" customWidth="true" hidden="false" outlineLevel="0" max="24" min="15" style="40" width="11.44"/>
    <col collapsed="false" customWidth="false" hidden="false" outlineLevel="0" max="16384" min="25" style="40" width="17.33"/>
  </cols>
  <sheetData>
    <row r="1" customFormat="false" ht="12.75" hidden="false" customHeight="true" outlineLevel="0" collapsed="false">
      <c r="A1" s="41"/>
      <c r="B1" s="41"/>
      <c r="C1" s="42"/>
      <c r="D1" s="41"/>
      <c r="E1" s="41"/>
      <c r="F1" s="41"/>
      <c r="G1" s="41"/>
      <c r="H1" s="43"/>
      <c r="I1" s="43"/>
      <c r="J1" s="43"/>
      <c r="K1" s="1"/>
      <c r="L1" s="44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9.5" hidden="false" customHeight="true" outlineLevel="0" collapsed="false">
      <c r="A2" s="41"/>
      <c r="B2" s="45" t="s">
        <v>44</v>
      </c>
      <c r="C2" s="45"/>
      <c r="D2" s="45"/>
      <c r="E2" s="45"/>
      <c r="F2" s="45"/>
      <c r="G2" s="45"/>
      <c r="H2" s="45"/>
      <c r="I2" s="45"/>
      <c r="J2" s="45"/>
      <c r="K2" s="1"/>
      <c r="L2" s="44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20.25" hidden="false" customHeight="true" outlineLevel="0" collapsed="false">
      <c r="A3" s="41"/>
      <c r="B3" s="45"/>
      <c r="C3" s="45"/>
      <c r="D3" s="45"/>
      <c r="E3" s="45"/>
      <c r="F3" s="45"/>
      <c r="G3" s="45"/>
      <c r="H3" s="45"/>
      <c r="I3" s="45"/>
      <c r="J3" s="45"/>
      <c r="K3" s="1"/>
      <c r="L3" s="44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2.75" hidden="false" customHeight="true" outlineLevel="0" collapsed="false">
      <c r="A4" s="41"/>
      <c r="B4" s="41"/>
      <c r="C4" s="46"/>
      <c r="D4" s="46"/>
      <c r="E4" s="47"/>
      <c r="F4" s="47"/>
      <c r="G4" s="47"/>
      <c r="H4" s="48"/>
      <c r="I4" s="48"/>
      <c r="J4" s="48"/>
      <c r="K4" s="49"/>
      <c r="L4" s="49"/>
      <c r="M4" s="47"/>
      <c r="N4" s="47"/>
      <c r="O4" s="1"/>
      <c r="P4" s="1"/>
      <c r="Q4" s="1"/>
      <c r="R4" s="1"/>
      <c r="S4" s="1"/>
      <c r="T4" s="1"/>
      <c r="U4" s="1"/>
      <c r="V4" s="1"/>
    </row>
    <row r="5" customFormat="false" ht="12.75" hidden="false" customHeight="true" outlineLevel="0" collapsed="false">
      <c r="A5" s="50" t="s">
        <v>45</v>
      </c>
      <c r="B5" s="50"/>
      <c r="C5" s="50"/>
      <c r="D5" s="51" t="s">
        <v>46</v>
      </c>
      <c r="E5" s="51"/>
      <c r="F5" s="51"/>
      <c r="G5" s="51"/>
      <c r="H5" s="51"/>
      <c r="I5" s="51"/>
      <c r="J5" s="1"/>
      <c r="K5" s="1"/>
      <c r="L5" s="1"/>
      <c r="M5" s="52"/>
      <c r="N5" s="52"/>
      <c r="O5" s="53"/>
      <c r="P5" s="53"/>
      <c r="Q5" s="53"/>
      <c r="R5" s="53"/>
      <c r="S5" s="53"/>
      <c r="T5" s="53"/>
      <c r="U5" s="53"/>
      <c r="V5" s="53"/>
    </row>
    <row r="6" customFormat="false" ht="12.75" hidden="false" customHeight="true" outlineLevel="0" collapsed="false">
      <c r="A6" s="50" t="s">
        <v>47</v>
      </c>
      <c r="B6" s="50"/>
      <c r="C6" s="50"/>
      <c r="D6" s="51" t="s">
        <v>48</v>
      </c>
      <c r="E6" s="51"/>
      <c r="F6" s="51"/>
      <c r="G6" s="51"/>
      <c r="H6" s="51"/>
      <c r="I6" s="51"/>
      <c r="J6" s="1"/>
      <c r="K6" s="1"/>
      <c r="L6" s="1"/>
      <c r="M6" s="52"/>
      <c r="N6" s="52"/>
      <c r="O6" s="53"/>
      <c r="P6" s="53"/>
      <c r="Q6" s="53"/>
      <c r="R6" s="53"/>
      <c r="S6" s="53"/>
      <c r="T6" s="53"/>
      <c r="U6" s="53"/>
      <c r="V6" s="53"/>
    </row>
    <row r="7" customFormat="false" ht="12.75" hidden="false" customHeight="true" outlineLevel="0" collapsed="false">
      <c r="A7" s="50" t="s">
        <v>49</v>
      </c>
      <c r="B7" s="50"/>
      <c r="C7" s="50"/>
      <c r="D7" s="51" t="s">
        <v>50</v>
      </c>
      <c r="E7" s="51"/>
      <c r="F7" s="51"/>
      <c r="G7" s="51"/>
      <c r="H7" s="51"/>
      <c r="I7" s="51"/>
      <c r="J7" s="1"/>
      <c r="K7" s="1"/>
      <c r="L7" s="1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customFormat="false" ht="12.75" hidden="false" customHeight="true" outlineLevel="0" collapsed="false">
      <c r="A8" s="50" t="s">
        <v>51</v>
      </c>
      <c r="B8" s="50"/>
      <c r="C8" s="50"/>
      <c r="D8" s="51" t="s">
        <v>52</v>
      </c>
      <c r="E8" s="51"/>
      <c r="F8" s="51"/>
      <c r="G8" s="51"/>
      <c r="H8" s="51"/>
      <c r="I8" s="51"/>
      <c r="J8" s="1"/>
      <c r="K8" s="1"/>
      <c r="L8" s="1"/>
      <c r="M8" s="53"/>
      <c r="N8" s="53"/>
      <c r="O8" s="53"/>
      <c r="P8" s="53"/>
      <c r="Q8" s="53"/>
      <c r="R8" s="53"/>
      <c r="S8" s="53"/>
      <c r="T8" s="53"/>
      <c r="U8" s="53"/>
      <c r="V8" s="53"/>
    </row>
    <row r="9" customFormat="false" ht="12.75" hidden="false" customHeight="true" outlineLevel="0" collapsed="false">
      <c r="A9" s="50" t="s">
        <v>53</v>
      </c>
      <c r="B9" s="50"/>
      <c r="C9" s="50"/>
      <c r="D9" s="51" t="s">
        <v>54</v>
      </c>
      <c r="E9" s="51"/>
      <c r="F9" s="51"/>
      <c r="G9" s="51"/>
      <c r="H9" s="51"/>
      <c r="I9" s="51"/>
      <c r="J9" s="1"/>
      <c r="K9" s="1"/>
      <c r="L9" s="1"/>
      <c r="M9" s="53"/>
      <c r="N9" s="53"/>
      <c r="O9" s="53"/>
      <c r="P9" s="53"/>
      <c r="Q9" s="53"/>
      <c r="R9" s="53"/>
      <c r="S9" s="53"/>
      <c r="T9" s="53"/>
      <c r="U9" s="53"/>
      <c r="V9" s="53"/>
    </row>
    <row r="10" customFormat="false" ht="12.75" hidden="false" customHeight="true" outlineLevel="0" collapsed="false">
      <c r="A10" s="50" t="s">
        <v>55</v>
      </c>
      <c r="B10" s="50"/>
      <c r="C10" s="50"/>
      <c r="D10" s="54" t="s">
        <v>56</v>
      </c>
      <c r="E10" s="54"/>
      <c r="F10" s="54"/>
      <c r="G10" s="54"/>
      <c r="H10" s="54"/>
      <c r="I10" s="54"/>
      <c r="J10" s="1"/>
      <c r="K10" s="1"/>
      <c r="L10" s="1"/>
      <c r="M10" s="53"/>
      <c r="N10" s="53"/>
      <c r="O10" s="53"/>
      <c r="P10" s="53"/>
      <c r="Q10" s="53"/>
      <c r="R10" s="53"/>
      <c r="S10" s="53"/>
      <c r="T10" s="53"/>
      <c r="U10" s="53"/>
      <c r="V10" s="53"/>
    </row>
    <row r="11" customFormat="false" ht="23.25" hidden="false" customHeight="true" outlineLevel="0" collapsed="false">
      <c r="A11" s="53" t="s">
        <v>57</v>
      </c>
      <c r="B11" s="53"/>
      <c r="C11" s="55"/>
      <c r="D11" s="55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3"/>
      <c r="P11" s="53"/>
      <c r="Q11" s="53"/>
      <c r="R11" s="53"/>
      <c r="S11" s="53"/>
      <c r="T11" s="53"/>
      <c r="U11" s="53"/>
      <c r="V11" s="53"/>
      <c r="W11" s="53"/>
      <c r="X11" s="53"/>
    </row>
    <row r="12" customFormat="false" ht="23.25" hidden="false" customHeight="true" outlineLevel="0" collapsed="false">
      <c r="A12" s="57" t="s">
        <v>58</v>
      </c>
      <c r="B12" s="57" t="s">
        <v>59</v>
      </c>
      <c r="C12" s="58" t="s">
        <v>60</v>
      </c>
      <c r="D12" s="57" t="s">
        <v>61</v>
      </c>
      <c r="E12" s="59" t="s">
        <v>62</v>
      </c>
      <c r="F12" s="57" t="s">
        <v>63</v>
      </c>
      <c r="G12" s="57" t="s">
        <v>64</v>
      </c>
      <c r="H12" s="57" t="s">
        <v>65</v>
      </c>
      <c r="I12" s="57" t="s">
        <v>66</v>
      </c>
      <c r="J12" s="60" t="s">
        <v>67</v>
      </c>
      <c r="K12" s="60"/>
      <c r="L12" s="60"/>
      <c r="M12" s="60"/>
      <c r="N12" s="60"/>
      <c r="O12" s="61"/>
      <c r="P12" s="61"/>
      <c r="Q12" s="61"/>
      <c r="R12" s="61"/>
      <c r="S12" s="61"/>
      <c r="T12" s="61"/>
      <c r="U12" s="61"/>
      <c r="V12" s="61"/>
      <c r="W12" s="61"/>
      <c r="X12" s="61"/>
    </row>
    <row r="13" customFormat="false" ht="13.5" hidden="false" customHeight="true" outlineLevel="0" collapsed="false">
      <c r="A13" s="62"/>
      <c r="B13" s="62"/>
      <c r="C13" s="63"/>
      <c r="D13" s="64"/>
      <c r="E13" s="65"/>
      <c r="F13" s="64"/>
      <c r="G13" s="64"/>
      <c r="H13" s="64"/>
      <c r="I13" s="64"/>
      <c r="J13" s="66" t="s">
        <v>68</v>
      </c>
      <c r="K13" s="66" t="s">
        <v>69</v>
      </c>
      <c r="L13" s="66" t="s">
        <v>70</v>
      </c>
      <c r="M13" s="66" t="s">
        <v>71</v>
      </c>
      <c r="N13" s="67" t="s">
        <v>72</v>
      </c>
      <c r="O13" s="61"/>
      <c r="P13" s="61"/>
      <c r="Q13" s="61"/>
      <c r="R13" s="61"/>
      <c r="S13" s="61"/>
      <c r="T13" s="61"/>
      <c r="U13" s="61"/>
      <c r="V13" s="61"/>
      <c r="W13" s="61"/>
      <c r="X13" s="61"/>
    </row>
    <row r="14" customFormat="false" ht="27" hidden="false" customHeight="true" outlineLevel="0" collapsed="false">
      <c r="A14" s="68" t="n">
        <v>1</v>
      </c>
      <c r="B14" s="69" t="s">
        <v>73</v>
      </c>
      <c r="C14" s="69" t="s">
        <v>74</v>
      </c>
      <c r="D14" s="69" t="s">
        <v>75</v>
      </c>
      <c r="E14" s="68" t="s">
        <v>76</v>
      </c>
      <c r="F14" s="69" t="s">
        <v>77</v>
      </c>
      <c r="G14" s="70" t="s">
        <v>78</v>
      </c>
      <c r="H14" s="70" t="s">
        <v>79</v>
      </c>
      <c r="I14" s="69" t="s">
        <v>80</v>
      </c>
      <c r="J14" s="68" t="s">
        <v>81</v>
      </c>
      <c r="K14" s="68"/>
      <c r="L14" s="68"/>
      <c r="M14" s="68"/>
      <c r="N14" s="69" t="s">
        <v>82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</row>
    <row r="15" customFormat="false" ht="26.25" hidden="false" customHeight="true" outlineLevel="0" collapsed="false">
      <c r="A15" s="68"/>
      <c r="B15" s="72"/>
      <c r="C15" s="72"/>
      <c r="D15" s="72"/>
      <c r="E15" s="73"/>
      <c r="F15" s="72"/>
      <c r="G15" s="70" t="s">
        <v>83</v>
      </c>
      <c r="H15" s="70" t="s">
        <v>84</v>
      </c>
      <c r="I15" s="69" t="s">
        <v>85</v>
      </c>
      <c r="J15" s="74"/>
      <c r="K15" s="74"/>
      <c r="L15" s="74"/>
      <c r="M15" s="74"/>
      <c r="N15" s="70"/>
      <c r="O15" s="71"/>
      <c r="P15" s="71"/>
      <c r="Q15" s="71"/>
      <c r="R15" s="71"/>
      <c r="S15" s="71"/>
      <c r="T15" s="71"/>
      <c r="U15" s="71"/>
      <c r="V15" s="71"/>
      <c r="W15" s="71"/>
      <c r="X15" s="71"/>
    </row>
    <row r="16" customFormat="false" ht="53.25" hidden="false" customHeight="true" outlineLevel="0" collapsed="false">
      <c r="A16" s="73"/>
      <c r="B16" s="72"/>
      <c r="C16" s="72"/>
      <c r="D16" s="72"/>
      <c r="E16" s="73"/>
      <c r="F16" s="72"/>
      <c r="G16" s="70" t="s">
        <v>86</v>
      </c>
      <c r="H16" s="70" t="s">
        <v>87</v>
      </c>
      <c r="I16" s="70" t="s">
        <v>88</v>
      </c>
      <c r="J16" s="74"/>
      <c r="K16" s="74"/>
      <c r="L16" s="74"/>
      <c r="M16" s="74"/>
      <c r="N16" s="70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customFormat="false" ht="25.5" hidden="false" customHeight="true" outlineLevel="0" collapsed="false">
      <c r="A17" s="68" t="n">
        <v>1</v>
      </c>
      <c r="B17" s="69" t="s">
        <v>73</v>
      </c>
      <c r="C17" s="69" t="s">
        <v>74</v>
      </c>
      <c r="D17" s="69" t="s">
        <v>75</v>
      </c>
      <c r="E17" s="68" t="s">
        <v>89</v>
      </c>
      <c r="F17" s="70" t="s">
        <v>90</v>
      </c>
      <c r="G17" s="70" t="s">
        <v>91</v>
      </c>
      <c r="H17" s="70" t="s">
        <v>79</v>
      </c>
      <c r="I17" s="70" t="s">
        <v>80</v>
      </c>
      <c r="J17" s="68" t="s">
        <v>81</v>
      </c>
      <c r="K17" s="68"/>
      <c r="L17" s="68"/>
      <c r="M17" s="68"/>
      <c r="N17" s="69" t="s">
        <v>92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</row>
    <row r="18" customFormat="false" ht="26.25" hidden="false" customHeight="true" outlineLevel="0" collapsed="false">
      <c r="A18" s="68"/>
      <c r="B18" s="72"/>
      <c r="C18" s="72"/>
      <c r="D18" s="72"/>
      <c r="E18" s="73"/>
      <c r="F18" s="72"/>
      <c r="G18" s="70" t="s">
        <v>93</v>
      </c>
      <c r="H18" s="72" t="s">
        <v>94</v>
      </c>
      <c r="I18" s="70" t="s">
        <v>95</v>
      </c>
      <c r="J18" s="68"/>
      <c r="K18" s="73"/>
      <c r="L18" s="73"/>
      <c r="M18" s="73"/>
      <c r="N18" s="72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 customFormat="false" ht="66" hidden="false" customHeight="true" outlineLevel="0" collapsed="false">
      <c r="A19" s="73"/>
      <c r="B19" s="72"/>
      <c r="C19" s="72"/>
      <c r="D19" s="72"/>
      <c r="E19" s="73"/>
      <c r="F19" s="72"/>
      <c r="G19" s="70" t="s">
        <v>96</v>
      </c>
      <c r="H19" s="72" t="s">
        <v>79</v>
      </c>
      <c r="I19" s="70" t="s">
        <v>97</v>
      </c>
      <c r="J19" s="73"/>
      <c r="K19" s="73"/>
      <c r="L19" s="73"/>
      <c r="M19" s="73"/>
      <c r="N19" s="72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 customFormat="false" ht="34.5" hidden="false" customHeight="true" outlineLevel="0" collapsed="false">
      <c r="A20" s="68" t="n">
        <v>1</v>
      </c>
      <c r="B20" s="69" t="s">
        <v>73</v>
      </c>
      <c r="C20" s="69" t="s">
        <v>74</v>
      </c>
      <c r="D20" s="69" t="s">
        <v>98</v>
      </c>
      <c r="E20" s="68" t="s">
        <v>99</v>
      </c>
      <c r="F20" s="69" t="s">
        <v>100</v>
      </c>
      <c r="G20" s="69" t="s">
        <v>91</v>
      </c>
      <c r="H20" s="69" t="s">
        <v>79</v>
      </c>
      <c r="I20" s="69" t="s">
        <v>80</v>
      </c>
      <c r="J20" s="68" t="s">
        <v>81</v>
      </c>
      <c r="K20" s="73"/>
      <c r="L20" s="73"/>
      <c r="M20" s="73"/>
      <c r="N20" s="72" t="s">
        <v>101</v>
      </c>
    </row>
    <row r="21" customFormat="false" ht="34.5" hidden="false" customHeight="true" outlineLevel="0" collapsed="false">
      <c r="A21" s="68"/>
      <c r="B21" s="69"/>
      <c r="C21" s="69"/>
      <c r="D21" s="69"/>
      <c r="E21" s="68"/>
      <c r="F21" s="69"/>
      <c r="G21" s="69" t="s">
        <v>102</v>
      </c>
      <c r="H21" s="69" t="s">
        <v>103</v>
      </c>
      <c r="I21" s="69" t="s">
        <v>104</v>
      </c>
      <c r="J21" s="68"/>
      <c r="K21" s="73"/>
      <c r="L21" s="73"/>
      <c r="M21" s="73"/>
      <c r="N21" s="72"/>
    </row>
    <row r="22" customFormat="false" ht="23.25" hidden="false" customHeight="true" outlineLevel="0" collapsed="false">
      <c r="A22" s="68"/>
      <c r="B22" s="69"/>
      <c r="C22" s="69"/>
      <c r="D22" s="69"/>
      <c r="E22" s="68"/>
      <c r="F22" s="69"/>
      <c r="G22" s="69" t="s">
        <v>96</v>
      </c>
      <c r="H22" s="69" t="s">
        <v>79</v>
      </c>
      <c r="I22" s="69" t="s">
        <v>105</v>
      </c>
      <c r="J22" s="68"/>
      <c r="K22" s="73"/>
      <c r="L22" s="73"/>
      <c r="M22" s="73"/>
      <c r="N22" s="72"/>
    </row>
    <row r="23" customFormat="false" ht="23.25" hidden="false" customHeight="true" outlineLevel="0" collapsed="false">
      <c r="A23" s="68" t="n">
        <v>1</v>
      </c>
      <c r="B23" s="69" t="s">
        <v>73</v>
      </c>
      <c r="C23" s="69" t="s">
        <v>74</v>
      </c>
      <c r="D23" s="69" t="s">
        <v>106</v>
      </c>
      <c r="E23" s="68" t="s">
        <v>107</v>
      </c>
      <c r="F23" s="69" t="s">
        <v>108</v>
      </c>
      <c r="G23" s="69" t="s">
        <v>91</v>
      </c>
      <c r="H23" s="69" t="s">
        <v>79</v>
      </c>
      <c r="I23" s="69" t="s">
        <v>80</v>
      </c>
      <c r="J23" s="68" t="s">
        <v>81</v>
      </c>
      <c r="K23" s="73"/>
      <c r="L23" s="73"/>
      <c r="M23" s="73"/>
      <c r="N23" s="72" t="s">
        <v>109</v>
      </c>
    </row>
    <row r="24" customFormat="false" ht="45.75" hidden="false" customHeight="true" outlineLevel="0" collapsed="false">
      <c r="A24" s="68"/>
      <c r="B24" s="69"/>
      <c r="C24" s="69"/>
      <c r="D24" s="69"/>
      <c r="E24" s="68"/>
      <c r="F24" s="69"/>
      <c r="G24" s="69" t="s">
        <v>110</v>
      </c>
      <c r="H24" s="69" t="s">
        <v>111</v>
      </c>
      <c r="I24" s="69" t="s">
        <v>112</v>
      </c>
      <c r="J24" s="68"/>
      <c r="K24" s="73"/>
      <c r="L24" s="73"/>
      <c r="M24" s="73"/>
      <c r="N24" s="72"/>
    </row>
    <row r="25" customFormat="false" ht="23.25" hidden="false" customHeight="true" outlineLevel="0" collapsed="false">
      <c r="A25" s="68"/>
      <c r="B25" s="69"/>
      <c r="C25" s="69"/>
      <c r="D25" s="69"/>
      <c r="E25" s="68"/>
      <c r="F25" s="69"/>
      <c r="G25" s="69" t="s">
        <v>96</v>
      </c>
      <c r="H25" s="69" t="s">
        <v>79</v>
      </c>
      <c r="I25" s="69" t="s">
        <v>113</v>
      </c>
      <c r="J25" s="68"/>
      <c r="K25" s="73"/>
      <c r="L25" s="73"/>
      <c r="M25" s="73"/>
      <c r="N25" s="72"/>
    </row>
    <row r="26" customFormat="false" ht="34.5" hidden="false" customHeight="true" outlineLevel="0" collapsed="false">
      <c r="A26" s="68" t="n">
        <v>1</v>
      </c>
      <c r="B26" s="69" t="s">
        <v>73</v>
      </c>
      <c r="C26" s="69" t="s">
        <v>74</v>
      </c>
      <c r="D26" s="69" t="s">
        <v>114</v>
      </c>
      <c r="E26" s="68" t="s">
        <v>115</v>
      </c>
      <c r="F26" s="69" t="s">
        <v>116</v>
      </c>
      <c r="G26" s="69" t="s">
        <v>117</v>
      </c>
      <c r="H26" s="69" t="s">
        <v>118</v>
      </c>
      <c r="I26" s="69" t="s">
        <v>119</v>
      </c>
      <c r="J26" s="68" t="s">
        <v>81</v>
      </c>
      <c r="K26" s="73"/>
      <c r="L26" s="73"/>
      <c r="M26" s="73"/>
      <c r="N26" s="72" t="s">
        <v>120</v>
      </c>
    </row>
    <row r="27" customFormat="false" ht="34.5" hidden="false" customHeight="true" outlineLevel="0" collapsed="false">
      <c r="A27" s="68"/>
      <c r="B27" s="69"/>
      <c r="C27" s="69"/>
      <c r="D27" s="69"/>
      <c r="E27" s="68"/>
      <c r="F27" s="69"/>
      <c r="G27" s="69" t="s">
        <v>121</v>
      </c>
      <c r="H27" s="69" t="s">
        <v>122</v>
      </c>
      <c r="I27" s="69" t="s">
        <v>123</v>
      </c>
      <c r="J27" s="68"/>
      <c r="K27" s="73"/>
      <c r="L27" s="73"/>
      <c r="M27" s="73"/>
      <c r="N27" s="72"/>
    </row>
    <row r="28" customFormat="false" ht="23.25" hidden="false" customHeight="true" outlineLevel="0" collapsed="false">
      <c r="A28" s="68" t="n">
        <v>2</v>
      </c>
      <c r="B28" s="69" t="s">
        <v>124</v>
      </c>
      <c r="C28" s="69" t="s">
        <v>74</v>
      </c>
      <c r="D28" s="69" t="s">
        <v>125</v>
      </c>
      <c r="E28" s="68" t="s">
        <v>126</v>
      </c>
      <c r="F28" s="69" t="s">
        <v>127</v>
      </c>
      <c r="G28" s="69" t="s">
        <v>128</v>
      </c>
      <c r="H28" s="69" t="s">
        <v>79</v>
      </c>
      <c r="I28" s="69" t="s">
        <v>129</v>
      </c>
      <c r="J28" s="68" t="s">
        <v>81</v>
      </c>
      <c r="K28" s="73"/>
      <c r="L28" s="73"/>
      <c r="M28" s="73"/>
      <c r="N28" s="72" t="s">
        <v>130</v>
      </c>
    </row>
    <row r="29" customFormat="false" ht="34.5" hidden="false" customHeight="true" outlineLevel="0" collapsed="false">
      <c r="A29" s="68"/>
      <c r="B29" s="69"/>
      <c r="C29" s="69"/>
      <c r="D29" s="69"/>
      <c r="E29" s="68"/>
      <c r="F29" s="69"/>
      <c r="G29" s="69" t="s">
        <v>131</v>
      </c>
      <c r="H29" s="69" t="s">
        <v>132</v>
      </c>
      <c r="I29" s="69" t="s">
        <v>133</v>
      </c>
      <c r="J29" s="68"/>
      <c r="K29" s="73"/>
      <c r="L29" s="73"/>
      <c r="M29" s="73"/>
      <c r="N29" s="72"/>
    </row>
    <row r="30" customFormat="false" ht="23.25" hidden="false" customHeight="true" outlineLevel="0" collapsed="false">
      <c r="A30" s="68" t="n">
        <v>2</v>
      </c>
      <c r="B30" s="69" t="s">
        <v>124</v>
      </c>
      <c r="C30" s="69" t="s">
        <v>74</v>
      </c>
      <c r="D30" s="69" t="s">
        <v>125</v>
      </c>
      <c r="E30" s="68" t="s">
        <v>134</v>
      </c>
      <c r="F30" s="69" t="s">
        <v>135</v>
      </c>
      <c r="G30" s="69" t="s">
        <v>128</v>
      </c>
      <c r="H30" s="69" t="s">
        <v>79</v>
      </c>
      <c r="I30" s="69" t="s">
        <v>129</v>
      </c>
      <c r="J30" s="68" t="s">
        <v>81</v>
      </c>
      <c r="K30" s="73"/>
      <c r="L30" s="73"/>
      <c r="M30" s="73"/>
      <c r="N30" s="72" t="s">
        <v>136</v>
      </c>
    </row>
    <row r="31" customFormat="false" ht="34.5" hidden="false" customHeight="true" outlineLevel="0" collapsed="false">
      <c r="A31" s="68"/>
      <c r="B31" s="69"/>
      <c r="C31" s="69"/>
      <c r="D31" s="69"/>
      <c r="E31" s="68"/>
      <c r="F31" s="69"/>
      <c r="G31" s="69" t="s">
        <v>137</v>
      </c>
      <c r="H31" s="69" t="s">
        <v>138</v>
      </c>
      <c r="I31" s="69" t="s">
        <v>139</v>
      </c>
      <c r="J31" s="68"/>
      <c r="K31" s="73"/>
      <c r="L31" s="73"/>
      <c r="M31" s="73"/>
      <c r="N31" s="72"/>
    </row>
    <row r="32" customFormat="false" ht="34.5" hidden="false" customHeight="true" outlineLevel="0" collapsed="false">
      <c r="A32" s="68" t="n">
        <v>3</v>
      </c>
      <c r="B32" s="69" t="s">
        <v>140</v>
      </c>
      <c r="C32" s="69" t="s">
        <v>141</v>
      </c>
      <c r="D32" s="69" t="s">
        <v>142</v>
      </c>
      <c r="E32" s="68" t="s">
        <v>143</v>
      </c>
      <c r="F32" s="69" t="s">
        <v>144</v>
      </c>
      <c r="G32" s="69" t="s">
        <v>145</v>
      </c>
      <c r="H32" s="69" t="s">
        <v>79</v>
      </c>
      <c r="I32" s="69" t="s">
        <v>146</v>
      </c>
      <c r="J32" s="68" t="s">
        <v>81</v>
      </c>
      <c r="K32" s="73"/>
      <c r="L32" s="73"/>
      <c r="M32" s="73"/>
      <c r="N32" s="72" t="s">
        <v>147</v>
      </c>
    </row>
    <row r="33" customFormat="false" ht="34.5" hidden="false" customHeight="true" outlineLevel="0" collapsed="false">
      <c r="A33" s="68"/>
      <c r="B33" s="69"/>
      <c r="C33" s="69"/>
      <c r="D33" s="69"/>
      <c r="E33" s="68"/>
      <c r="F33" s="69"/>
      <c r="G33" s="69" t="s">
        <v>148</v>
      </c>
      <c r="H33" s="69" t="s">
        <v>149</v>
      </c>
      <c r="I33" s="69" t="s">
        <v>150</v>
      </c>
      <c r="J33" s="68"/>
      <c r="K33" s="73"/>
      <c r="L33" s="73"/>
      <c r="M33" s="73"/>
      <c r="N33" s="72"/>
    </row>
    <row r="34" customFormat="false" ht="34.5" hidden="false" customHeight="true" outlineLevel="0" collapsed="false">
      <c r="A34" s="68" t="n">
        <v>4</v>
      </c>
      <c r="B34" s="69" t="s">
        <v>151</v>
      </c>
      <c r="C34" s="69" t="s">
        <v>152</v>
      </c>
      <c r="D34" s="69" t="s">
        <v>153</v>
      </c>
      <c r="E34" s="68" t="s">
        <v>154</v>
      </c>
      <c r="F34" s="69" t="s">
        <v>155</v>
      </c>
      <c r="G34" s="69" t="s">
        <v>156</v>
      </c>
      <c r="H34" s="69" t="s">
        <v>79</v>
      </c>
      <c r="I34" s="69" t="s">
        <v>157</v>
      </c>
      <c r="J34" s="68" t="s">
        <v>81</v>
      </c>
      <c r="K34" s="73"/>
      <c r="L34" s="73"/>
      <c r="M34" s="73"/>
      <c r="N34" s="72" t="s">
        <v>158</v>
      </c>
    </row>
    <row r="35" customFormat="false" ht="34.5" hidden="false" customHeight="true" outlineLevel="0" collapsed="false">
      <c r="A35" s="68"/>
      <c r="B35" s="69"/>
      <c r="C35" s="69"/>
      <c r="D35" s="69"/>
      <c r="E35" s="68"/>
      <c r="F35" s="69"/>
      <c r="G35" s="69" t="s">
        <v>159</v>
      </c>
      <c r="H35" s="69" t="s">
        <v>79</v>
      </c>
      <c r="I35" s="69" t="s">
        <v>160</v>
      </c>
      <c r="J35" s="68"/>
      <c r="K35" s="73"/>
      <c r="L35" s="73"/>
      <c r="M35" s="73"/>
      <c r="N35" s="72"/>
    </row>
    <row r="36" customFormat="false" ht="34.5" hidden="false" customHeight="true" outlineLevel="0" collapsed="false">
      <c r="A36" s="68" t="n">
        <v>5</v>
      </c>
      <c r="B36" s="69" t="s">
        <v>161</v>
      </c>
      <c r="C36" s="69" t="s">
        <v>162</v>
      </c>
      <c r="D36" s="69" t="s">
        <v>161</v>
      </c>
      <c r="E36" s="68" t="s">
        <v>163</v>
      </c>
      <c r="F36" s="69" t="s">
        <v>164</v>
      </c>
      <c r="G36" s="69" t="s">
        <v>165</v>
      </c>
      <c r="H36" s="69" t="s">
        <v>79</v>
      </c>
      <c r="I36" s="69" t="s">
        <v>166</v>
      </c>
      <c r="J36" s="68" t="s">
        <v>81</v>
      </c>
      <c r="K36" s="73"/>
      <c r="L36" s="73"/>
      <c r="M36" s="73"/>
      <c r="N36" s="72" t="s">
        <v>167</v>
      </c>
    </row>
    <row r="37" customFormat="false" ht="34.5" hidden="false" customHeight="true" outlineLevel="0" collapsed="false">
      <c r="A37" s="68"/>
      <c r="B37" s="69"/>
      <c r="C37" s="69"/>
      <c r="D37" s="69"/>
      <c r="E37" s="68"/>
      <c r="F37" s="69"/>
      <c r="G37" s="69" t="s">
        <v>168</v>
      </c>
      <c r="H37" s="69" t="s">
        <v>169</v>
      </c>
      <c r="I37" s="69" t="s">
        <v>170</v>
      </c>
      <c r="J37" s="68"/>
      <c r="K37" s="73"/>
      <c r="L37" s="73"/>
      <c r="M37" s="73"/>
      <c r="N37" s="72"/>
    </row>
    <row r="38" customFormat="false" ht="57" hidden="false" customHeight="true" outlineLevel="0" collapsed="false">
      <c r="A38" s="68" t="n">
        <v>5</v>
      </c>
      <c r="B38" s="69" t="s">
        <v>161</v>
      </c>
      <c r="C38" s="69" t="s">
        <v>162</v>
      </c>
      <c r="D38" s="69" t="s">
        <v>171</v>
      </c>
      <c r="E38" s="68" t="s">
        <v>172</v>
      </c>
      <c r="F38" s="69" t="s">
        <v>173</v>
      </c>
      <c r="G38" s="69" t="s">
        <v>174</v>
      </c>
      <c r="H38" s="69" t="s">
        <v>79</v>
      </c>
      <c r="I38" s="69" t="s">
        <v>175</v>
      </c>
      <c r="J38" s="68" t="s">
        <v>81</v>
      </c>
      <c r="K38" s="73"/>
      <c r="L38" s="73"/>
      <c r="M38" s="73"/>
      <c r="N38" s="72" t="s">
        <v>176</v>
      </c>
    </row>
    <row r="39" customFormat="false" ht="34.5" hidden="false" customHeight="true" outlineLevel="0" collapsed="false">
      <c r="A39" s="68"/>
      <c r="B39" s="69"/>
      <c r="C39" s="69"/>
      <c r="D39" s="69"/>
      <c r="E39" s="68"/>
      <c r="F39" s="69"/>
      <c r="G39" s="69" t="s">
        <v>177</v>
      </c>
      <c r="H39" s="69" t="s">
        <v>178</v>
      </c>
      <c r="I39" s="69" t="s">
        <v>179</v>
      </c>
      <c r="J39" s="68"/>
      <c r="K39" s="73"/>
      <c r="L39" s="73"/>
      <c r="M39" s="73"/>
      <c r="N39" s="72"/>
    </row>
    <row r="40" customFormat="false" ht="34.5" hidden="false" customHeight="true" outlineLevel="0" collapsed="false">
      <c r="A40" s="68" t="n">
        <v>5</v>
      </c>
      <c r="B40" s="69" t="s">
        <v>161</v>
      </c>
      <c r="C40" s="69" t="s">
        <v>162</v>
      </c>
      <c r="D40" s="69" t="s">
        <v>180</v>
      </c>
      <c r="E40" s="68" t="s">
        <v>181</v>
      </c>
      <c r="F40" s="69" t="s">
        <v>182</v>
      </c>
      <c r="G40" s="69" t="s">
        <v>183</v>
      </c>
      <c r="H40" s="69" t="s">
        <v>79</v>
      </c>
      <c r="I40" s="69" t="s">
        <v>184</v>
      </c>
      <c r="J40" s="68" t="s">
        <v>81</v>
      </c>
      <c r="K40" s="73"/>
      <c r="L40" s="73"/>
      <c r="M40" s="73"/>
      <c r="N40" s="72" t="s">
        <v>185</v>
      </c>
    </row>
    <row r="41" customFormat="false" ht="23.25" hidden="false" customHeight="true" outlineLevel="0" collapsed="false">
      <c r="A41" s="68"/>
      <c r="B41" s="69"/>
      <c r="C41" s="69"/>
      <c r="D41" s="69"/>
      <c r="E41" s="68"/>
      <c r="F41" s="69"/>
      <c r="G41" s="69" t="s">
        <v>186</v>
      </c>
      <c r="H41" s="69" t="s">
        <v>187</v>
      </c>
      <c r="I41" s="69" t="s">
        <v>188</v>
      </c>
      <c r="J41" s="68"/>
      <c r="K41" s="73"/>
      <c r="L41" s="73"/>
      <c r="M41" s="73"/>
      <c r="N41" s="72"/>
    </row>
    <row r="42" customFormat="false" ht="34.5" hidden="false" customHeight="true" outlineLevel="0" collapsed="false">
      <c r="A42" s="68" t="n">
        <v>6</v>
      </c>
      <c r="B42" s="69" t="s">
        <v>189</v>
      </c>
      <c r="C42" s="69" t="s">
        <v>162</v>
      </c>
      <c r="D42" s="69" t="s">
        <v>190</v>
      </c>
      <c r="E42" s="68" t="s">
        <v>191</v>
      </c>
      <c r="F42" s="69" t="s">
        <v>192</v>
      </c>
      <c r="G42" s="69" t="s">
        <v>193</v>
      </c>
      <c r="H42" s="69" t="s">
        <v>79</v>
      </c>
      <c r="I42" s="69" t="s">
        <v>194</v>
      </c>
      <c r="J42" s="68" t="s">
        <v>81</v>
      </c>
      <c r="K42" s="73"/>
      <c r="L42" s="73"/>
      <c r="M42" s="73"/>
      <c r="N42" s="72" t="s">
        <v>195</v>
      </c>
    </row>
    <row r="43" customFormat="false" ht="23.25" hidden="false" customHeight="true" outlineLevel="0" collapsed="false">
      <c r="A43" s="68"/>
      <c r="B43" s="69"/>
      <c r="C43" s="69"/>
      <c r="D43" s="69"/>
      <c r="E43" s="68"/>
      <c r="F43" s="69"/>
      <c r="G43" s="69" t="s">
        <v>196</v>
      </c>
      <c r="H43" s="69" t="s">
        <v>79</v>
      </c>
      <c r="I43" s="69" t="s">
        <v>197</v>
      </c>
      <c r="J43" s="68"/>
      <c r="K43" s="73"/>
      <c r="L43" s="73"/>
      <c r="M43" s="73"/>
      <c r="N43" s="72"/>
    </row>
    <row r="44" customFormat="false" ht="34.5" hidden="false" customHeight="true" outlineLevel="0" collapsed="false">
      <c r="A44" s="68"/>
      <c r="B44" s="69"/>
      <c r="C44" s="69"/>
      <c r="D44" s="69"/>
      <c r="E44" s="68"/>
      <c r="F44" s="69"/>
      <c r="G44" s="69" t="s">
        <v>198</v>
      </c>
      <c r="H44" s="69" t="s">
        <v>79</v>
      </c>
      <c r="I44" s="69" t="s">
        <v>199</v>
      </c>
      <c r="J44" s="68"/>
      <c r="K44" s="73"/>
      <c r="L44" s="73"/>
      <c r="M44" s="73"/>
      <c r="N44" s="72"/>
    </row>
    <row r="45" customFormat="false" ht="34.5" hidden="false" customHeight="true" outlineLevel="0" collapsed="false">
      <c r="A45" s="68" t="n">
        <v>7</v>
      </c>
      <c r="B45" s="69" t="s">
        <v>200</v>
      </c>
      <c r="C45" s="69" t="s">
        <v>201</v>
      </c>
      <c r="D45" s="69" t="s">
        <v>202</v>
      </c>
      <c r="E45" s="68" t="s">
        <v>203</v>
      </c>
      <c r="F45" s="69" t="s">
        <v>204</v>
      </c>
      <c r="G45" s="69" t="s">
        <v>205</v>
      </c>
      <c r="H45" s="69" t="s">
        <v>79</v>
      </c>
      <c r="I45" s="69" t="s">
        <v>206</v>
      </c>
      <c r="J45" s="68" t="s">
        <v>81</v>
      </c>
      <c r="K45" s="73"/>
      <c r="L45" s="73"/>
      <c r="M45" s="73"/>
      <c r="N45" s="72" t="s">
        <v>207</v>
      </c>
    </row>
    <row r="46" customFormat="false" ht="23.25" hidden="false" customHeight="true" outlineLevel="0" collapsed="false">
      <c r="A46" s="68"/>
      <c r="B46" s="69"/>
      <c r="C46" s="69"/>
      <c r="D46" s="69"/>
      <c r="E46" s="68"/>
      <c r="F46" s="69"/>
      <c r="G46" s="69" t="s">
        <v>208</v>
      </c>
      <c r="H46" s="69" t="s">
        <v>209</v>
      </c>
      <c r="I46" s="69" t="s">
        <v>210</v>
      </c>
      <c r="J46" s="68"/>
      <c r="K46" s="73"/>
      <c r="L46" s="73"/>
      <c r="M46" s="73"/>
      <c r="N46" s="72"/>
    </row>
    <row r="47" customFormat="false" ht="34.5" hidden="false" customHeight="true" outlineLevel="0" collapsed="false">
      <c r="A47" s="68" t="n">
        <v>8</v>
      </c>
      <c r="B47" s="69" t="s">
        <v>211</v>
      </c>
      <c r="C47" s="69" t="s">
        <v>212</v>
      </c>
      <c r="D47" s="69" t="s">
        <v>213</v>
      </c>
      <c r="E47" s="68" t="s">
        <v>214</v>
      </c>
      <c r="F47" s="69" t="s">
        <v>215</v>
      </c>
      <c r="G47" s="69" t="s">
        <v>216</v>
      </c>
      <c r="H47" s="69" t="s">
        <v>217</v>
      </c>
      <c r="I47" s="69" t="s">
        <v>218</v>
      </c>
      <c r="J47" s="68" t="s">
        <v>81</v>
      </c>
      <c r="K47" s="73"/>
      <c r="L47" s="73"/>
      <c r="M47" s="73"/>
      <c r="N47" s="72" t="s">
        <v>219</v>
      </c>
    </row>
    <row r="48" customFormat="false" ht="23.25" hidden="false" customHeight="true" outlineLevel="0" collapsed="false">
      <c r="A48" s="68"/>
      <c r="B48" s="69"/>
      <c r="C48" s="69"/>
      <c r="D48" s="69"/>
      <c r="E48" s="68"/>
      <c r="F48" s="69"/>
      <c r="G48" s="69" t="s">
        <v>220</v>
      </c>
      <c r="H48" s="69" t="s">
        <v>79</v>
      </c>
      <c r="I48" s="69" t="s">
        <v>221</v>
      </c>
      <c r="J48" s="68"/>
      <c r="K48" s="73"/>
      <c r="L48" s="73"/>
      <c r="M48" s="73"/>
      <c r="N48" s="72"/>
    </row>
    <row r="49" customFormat="false" ht="12.75" hidden="false" customHeight="tru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</row>
    <row r="50" customFormat="false" ht="12.75" hidden="false" customHeight="tru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</row>
    <row r="51" customFormat="false" ht="12.75" hidden="false" customHeight="tru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</row>
    <row r="52" customFormat="false" ht="12.75" hidden="false" customHeight="tru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</row>
    <row r="53" customFormat="false" ht="12.75" hidden="false" customHeight="tru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</row>
    <row r="54" customFormat="false" ht="12.75" hidden="false" customHeight="tru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</row>
    <row r="55" customFormat="false" ht="12.75" hidden="false" customHeight="tru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</row>
    <row r="56" customFormat="false" ht="12.75" hidden="false" customHeight="tru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</row>
    <row r="57" customFormat="false" ht="12.75" hidden="false" customHeight="tru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</row>
    <row r="58" customFormat="false" ht="12.75" hidden="false" customHeight="tru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</row>
    <row r="59" customFormat="false" ht="12.75" hidden="false" customHeight="tru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</row>
    <row r="60" customFormat="false" ht="12.75" hidden="false" customHeight="tru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</row>
    <row r="61" customFormat="false" ht="12.75" hidden="false" customHeight="tru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</row>
    <row r="62" customFormat="false" ht="12.75" hidden="false" customHeight="tru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</row>
    <row r="63" customFormat="false" ht="12.75" hidden="false" customHeight="tru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</row>
    <row r="64" customFormat="false" ht="12.75" hidden="false" customHeight="tru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</row>
    <row r="65" customFormat="false" ht="12.75" hidden="false" customHeight="tru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</row>
    <row r="66" customFormat="false" ht="12.75" hidden="false" customHeight="tru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</row>
    <row r="67" customFormat="false" ht="12.75" hidden="false" customHeight="tru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</row>
    <row r="68" customFormat="false" ht="12.75" hidden="false" customHeight="tru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</row>
    <row r="69" customFormat="false" ht="12.75" hidden="false" customHeight="tru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</row>
    <row r="70" customFormat="false" ht="12.75" hidden="false" customHeight="tru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</row>
    <row r="71" customFormat="false" ht="12.75" hidden="false" customHeight="tru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</row>
    <row r="72" customFormat="false" ht="12.75" hidden="false" customHeight="tru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</row>
    <row r="73" customFormat="false" ht="12.75" hidden="false" customHeight="tru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</row>
    <row r="74" customFormat="false" ht="12.75" hidden="false" customHeight="tru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</row>
    <row r="75" customFormat="false" ht="12.75" hidden="false" customHeight="tru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</row>
    <row r="76" customFormat="false" ht="12.75" hidden="false" customHeight="tru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</row>
    <row r="77" customFormat="false" ht="12.75" hidden="false" customHeight="tru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</row>
    <row r="78" customFormat="false" ht="12.75" hidden="false" customHeight="tru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</row>
    <row r="79" customFormat="false" ht="12.75" hidden="false" customHeight="tru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</row>
    <row r="80" customFormat="false" ht="12.75" hidden="false" customHeight="tru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</row>
    <row r="81" customFormat="false" ht="12.75" hidden="false" customHeight="tru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</row>
    <row r="82" customFormat="false" ht="12.75" hidden="false" customHeight="tru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</row>
    <row r="83" customFormat="false" ht="12.75" hidden="false" customHeight="tru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</row>
    <row r="84" customFormat="false" ht="12.75" hidden="false" customHeight="tru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</row>
    <row r="85" customFormat="false" ht="12.75" hidden="false" customHeight="tru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</row>
    <row r="86" customFormat="false" ht="12.75" hidden="false" customHeight="tru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</row>
    <row r="87" customFormat="false" ht="12.75" hidden="false" customHeight="tru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</row>
    <row r="88" customFormat="false" ht="12.75" hidden="false" customHeight="tru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</row>
    <row r="89" customFormat="false" ht="12.75" hidden="false" customHeight="tru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</row>
    <row r="90" customFormat="false" ht="12.75" hidden="false" customHeight="tru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</row>
    <row r="91" customFormat="false" ht="12.75" hidden="false" customHeight="tru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</row>
    <row r="92" customFormat="false" ht="12.75" hidden="false" customHeight="tru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</row>
    <row r="93" customFormat="false" ht="12.75" hidden="false" customHeight="tru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</row>
    <row r="94" customFormat="false" ht="12.75" hidden="false" customHeight="tru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</row>
    <row r="95" customFormat="false" ht="12.75" hidden="false" customHeight="tru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</row>
    <row r="96" customFormat="false" ht="12.75" hidden="false" customHeight="tru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</row>
    <row r="97" customFormat="false" ht="12.75" hidden="false" customHeight="tru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</row>
    <row r="98" customFormat="false" ht="12.75" hidden="false" customHeight="tru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</row>
    <row r="99" customFormat="false" ht="12.75" hidden="false" customHeight="tru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</row>
    <row r="100" customFormat="false" ht="12.75" hidden="false" customHeight="tru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</row>
    <row r="101" customFormat="false" ht="12.75" hidden="false" customHeight="tru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</row>
    <row r="102" customFormat="false" ht="12.75" hidden="false" customHeight="tru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</row>
    <row r="103" customFormat="false" ht="12.75" hidden="false" customHeight="tru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</row>
    <row r="104" customFormat="false" ht="12.75" hidden="false" customHeight="tru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</row>
    <row r="105" customFormat="false" ht="12.75" hidden="false" customHeight="tru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</row>
    <row r="106" customFormat="false" ht="12.75" hidden="false" customHeight="tru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</row>
    <row r="107" customFormat="false" ht="12.75" hidden="false" customHeight="tru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</row>
    <row r="108" customFormat="false" ht="12.75" hidden="false" customHeight="tru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</row>
    <row r="109" customFormat="false" ht="12.75" hidden="false" customHeight="tru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</row>
    <row r="113" customFormat="false" ht="42" hidden="false" customHeight="true" outlineLevel="0" collapsed="false"/>
    <row r="114" customFormat="false" ht="12.75" hidden="false" customHeight="tru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</row>
    <row r="115" customFormat="false" ht="12.75" hidden="false" customHeight="tru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</row>
    <row r="116" customFormat="false" ht="12.75" hidden="false" customHeight="tru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</row>
    <row r="117" customFormat="false" ht="12.75" hidden="false" customHeight="tru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</row>
    <row r="118" customFormat="false" ht="12.75" hidden="false" customHeight="tru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</row>
    <row r="119" customFormat="false" ht="12.75" hidden="false" customHeight="tru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</row>
    <row r="120" customFormat="false" ht="12.75" hidden="false" customHeight="tru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</row>
    <row r="121" customFormat="false" ht="12.75" hidden="false" customHeight="tru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</row>
    <row r="122" customFormat="false" ht="12.75" hidden="false" customHeight="tru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</row>
    <row r="123" customFormat="false" ht="12.75" hidden="false" customHeight="tru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</row>
    <row r="124" customFormat="false" ht="12.75" hidden="false" customHeight="tru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</row>
    <row r="125" customFormat="false" ht="12.75" hidden="false" customHeight="tru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</row>
    <row r="126" customFormat="false" ht="12.75" hidden="false" customHeight="tru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</row>
    <row r="127" customFormat="false" ht="12.75" hidden="false" customHeight="tru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</row>
    <row r="128" customFormat="false" ht="12.75" hidden="false" customHeight="tru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</row>
    <row r="129" customFormat="false" ht="12.75" hidden="false" customHeight="tru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</row>
    <row r="130" customFormat="false" ht="12.75" hidden="false" customHeight="tru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</row>
    <row r="131" customFormat="false" ht="12.75" hidden="false" customHeight="tru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</row>
    <row r="132" customFormat="false" ht="12.75" hidden="false" customHeight="tru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</row>
    <row r="133" customFormat="false" ht="12.75" hidden="false" customHeight="tru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</row>
    <row r="134" customFormat="false" ht="12.75" hidden="false" customHeight="tru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</row>
    <row r="135" customFormat="false" ht="12.75" hidden="false" customHeight="tru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</row>
    <row r="136" customFormat="false" ht="12.75" hidden="false" customHeight="tru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</row>
    <row r="137" customFormat="false" ht="12.75" hidden="false" customHeight="tru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</row>
    <row r="138" customFormat="false" ht="12.75" hidden="false" customHeight="tru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</row>
    <row r="139" customFormat="false" ht="12.75" hidden="false" customHeight="tru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</row>
    <row r="140" customFormat="false" ht="12.75" hidden="false" customHeight="true" outlineLevel="0" collapsed="false">
      <c r="A140" s="71"/>
      <c r="B140" s="71"/>
      <c r="C140" s="71"/>
      <c r="D140" s="71"/>
      <c r="E140" s="71"/>
      <c r="F140" s="71"/>
      <c r="G140" s="71"/>
      <c r="H140" s="71"/>
      <c r="I140" s="71"/>
    </row>
    <row r="141" customFormat="false" ht="12.75" hidden="false" customHeight="true" outlineLevel="0" collapsed="false">
      <c r="A141" s="71"/>
      <c r="B141" s="71"/>
      <c r="C141" s="71"/>
      <c r="D141" s="71"/>
      <c r="E141" s="71"/>
      <c r="F141" s="71"/>
      <c r="G141" s="71"/>
      <c r="H141" s="71"/>
      <c r="I141" s="71"/>
    </row>
    <row r="142" customFormat="false" ht="12.75" hidden="false" customHeight="true" outlineLevel="0" collapsed="false">
      <c r="A142" s="71"/>
      <c r="B142" s="71"/>
      <c r="C142" s="71"/>
      <c r="D142" s="71"/>
      <c r="E142" s="71"/>
      <c r="F142" s="71"/>
      <c r="G142" s="71"/>
      <c r="H142" s="71"/>
      <c r="I142" s="71"/>
    </row>
    <row r="143" customFormat="false" ht="12.75" hidden="false" customHeight="true" outlineLevel="0" collapsed="false">
      <c r="A143" s="71"/>
      <c r="B143" s="71"/>
      <c r="C143" s="71"/>
      <c r="D143" s="71"/>
      <c r="E143" s="71"/>
      <c r="F143" s="71"/>
      <c r="G143" s="71"/>
      <c r="H143" s="71"/>
      <c r="I143" s="71"/>
    </row>
    <row r="144" customFormat="false" ht="12.75" hidden="false" customHeight="true" outlineLevel="0" collapsed="false">
      <c r="A144" s="71"/>
      <c r="B144" s="71"/>
      <c r="C144" s="71"/>
      <c r="D144" s="71"/>
      <c r="E144" s="71"/>
      <c r="F144" s="71"/>
      <c r="G144" s="71"/>
      <c r="H144" s="71"/>
      <c r="I144" s="71"/>
    </row>
    <row r="145" customFormat="false" ht="12.75" hidden="false" customHeight="true" outlineLevel="0" collapsed="false">
      <c r="A145" s="71"/>
      <c r="B145" s="71"/>
      <c r="C145" s="71"/>
      <c r="D145" s="71"/>
      <c r="E145" s="71"/>
      <c r="F145" s="71"/>
      <c r="G145" s="71"/>
      <c r="H145" s="71"/>
      <c r="I145" s="71"/>
    </row>
    <row r="146" customFormat="false" ht="12.75" hidden="false" customHeight="true" outlineLevel="0" collapsed="false">
      <c r="A146" s="71"/>
      <c r="B146" s="71"/>
      <c r="C146" s="71"/>
      <c r="D146" s="71"/>
      <c r="E146" s="71"/>
      <c r="F146" s="71"/>
      <c r="G146" s="71"/>
      <c r="H146" s="71"/>
      <c r="I146" s="71"/>
    </row>
    <row r="147" customFormat="false" ht="12.75" hidden="false" customHeight="true" outlineLevel="0" collapsed="false">
      <c r="A147" s="71"/>
      <c r="B147" s="71"/>
      <c r="C147" s="71"/>
      <c r="D147" s="71"/>
      <c r="E147" s="71"/>
      <c r="F147" s="71"/>
      <c r="G147" s="71"/>
      <c r="H147" s="71"/>
      <c r="I147" s="71"/>
    </row>
    <row r="148" customFormat="false" ht="12.75" hidden="false" customHeight="true" outlineLevel="0" collapsed="false">
      <c r="A148" s="71"/>
      <c r="B148" s="71"/>
      <c r="C148" s="71"/>
      <c r="D148" s="71"/>
      <c r="E148" s="71"/>
      <c r="F148" s="71"/>
      <c r="G148" s="71"/>
      <c r="H148" s="71"/>
      <c r="I148" s="71"/>
    </row>
    <row r="149" customFormat="false" ht="12.75" hidden="false" customHeight="true" outlineLevel="0" collapsed="false">
      <c r="A149" s="71"/>
      <c r="B149" s="71"/>
      <c r="C149" s="71"/>
      <c r="D149" s="71"/>
      <c r="E149" s="71"/>
      <c r="F149" s="71"/>
      <c r="G149" s="71"/>
      <c r="H149" s="71"/>
      <c r="I149" s="71"/>
    </row>
    <row r="150" customFormat="false" ht="12.75" hidden="false" customHeight="true" outlineLevel="0" collapsed="false">
      <c r="A150" s="71"/>
      <c r="B150" s="71"/>
      <c r="C150" s="71"/>
      <c r="D150" s="71"/>
      <c r="E150" s="71"/>
      <c r="F150" s="71"/>
      <c r="G150" s="71"/>
      <c r="H150" s="71"/>
      <c r="I150" s="71"/>
    </row>
    <row r="151" customFormat="false" ht="12.75" hidden="false" customHeight="true" outlineLevel="0" collapsed="false">
      <c r="A151" s="71"/>
      <c r="B151" s="71"/>
      <c r="C151" s="71"/>
      <c r="D151" s="71"/>
      <c r="E151" s="71"/>
      <c r="F151" s="71"/>
      <c r="G151" s="71"/>
      <c r="H151" s="71"/>
      <c r="I151" s="71"/>
    </row>
    <row r="152" customFormat="false" ht="12.75" hidden="false" customHeight="true" outlineLevel="0" collapsed="false">
      <c r="A152" s="71"/>
      <c r="B152" s="71"/>
      <c r="C152" s="71"/>
      <c r="D152" s="71"/>
      <c r="E152" s="71"/>
      <c r="F152" s="71"/>
      <c r="G152" s="71"/>
      <c r="H152" s="71"/>
      <c r="I152" s="71"/>
    </row>
    <row r="153" customFormat="false" ht="12.75" hidden="false" customHeight="true" outlineLevel="0" collapsed="false">
      <c r="A153" s="71"/>
      <c r="B153" s="71"/>
      <c r="C153" s="71"/>
      <c r="D153" s="71"/>
      <c r="E153" s="71"/>
      <c r="F153" s="71"/>
      <c r="G153" s="71"/>
      <c r="H153" s="71"/>
      <c r="I153" s="71"/>
    </row>
    <row r="154" customFormat="false" ht="12.75" hidden="false" customHeight="true" outlineLevel="0" collapsed="false">
      <c r="A154" s="71"/>
      <c r="B154" s="71"/>
      <c r="C154" s="71"/>
      <c r="D154" s="71"/>
      <c r="E154" s="71"/>
      <c r="F154" s="71"/>
      <c r="G154" s="71"/>
      <c r="H154" s="71"/>
      <c r="I154" s="71"/>
    </row>
    <row r="155" customFormat="false" ht="12.75" hidden="false" customHeight="true" outlineLevel="0" collapsed="false">
      <c r="A155" s="71"/>
      <c r="B155" s="71"/>
      <c r="C155" s="71"/>
      <c r="D155" s="71"/>
      <c r="E155" s="71"/>
      <c r="F155" s="71"/>
      <c r="G155" s="71"/>
      <c r="H155" s="71"/>
      <c r="I155" s="71"/>
    </row>
    <row r="156" customFormat="false" ht="12.75" hidden="false" customHeight="true" outlineLevel="0" collapsed="false">
      <c r="A156" s="71"/>
      <c r="B156" s="71"/>
      <c r="C156" s="71"/>
      <c r="D156" s="71"/>
      <c r="E156" s="71"/>
      <c r="F156" s="71"/>
      <c r="G156" s="71"/>
      <c r="H156" s="71"/>
      <c r="I156" s="71"/>
    </row>
    <row r="157" customFormat="false" ht="12.75" hidden="false" customHeight="true" outlineLevel="0" collapsed="false">
      <c r="A157" s="71"/>
      <c r="B157" s="71"/>
      <c r="C157" s="71"/>
      <c r="D157" s="71"/>
      <c r="E157" s="71"/>
      <c r="F157" s="71"/>
      <c r="G157" s="71"/>
      <c r="H157" s="71"/>
      <c r="I157" s="71"/>
    </row>
    <row r="158" customFormat="false" ht="12.75" hidden="false" customHeight="true" outlineLevel="0" collapsed="false">
      <c r="A158" s="71"/>
      <c r="B158" s="71"/>
      <c r="C158" s="71"/>
      <c r="D158" s="71"/>
      <c r="E158" s="71"/>
      <c r="F158" s="71"/>
      <c r="G158" s="71"/>
      <c r="H158" s="71"/>
      <c r="I158" s="71"/>
    </row>
    <row r="159" customFormat="false" ht="12.75" hidden="false" customHeight="true" outlineLevel="0" collapsed="false">
      <c r="A159" s="71"/>
      <c r="B159" s="71"/>
      <c r="C159" s="71"/>
      <c r="D159" s="71"/>
      <c r="E159" s="71"/>
      <c r="F159" s="71"/>
      <c r="G159" s="71"/>
      <c r="H159" s="71"/>
      <c r="I159" s="71"/>
    </row>
    <row r="160" customFormat="false" ht="12.75" hidden="false" customHeight="true" outlineLevel="0" collapsed="false">
      <c r="A160" s="71"/>
      <c r="B160" s="71"/>
      <c r="C160" s="71"/>
      <c r="D160" s="71"/>
      <c r="E160" s="71"/>
      <c r="F160" s="71"/>
      <c r="G160" s="71"/>
      <c r="H160" s="71"/>
      <c r="I160" s="71"/>
    </row>
    <row r="161" customFormat="false" ht="12.75" hidden="false" customHeight="true" outlineLevel="0" collapsed="false">
      <c r="A161" s="71"/>
      <c r="B161" s="71"/>
      <c r="C161" s="71"/>
      <c r="D161" s="71"/>
      <c r="E161" s="71"/>
      <c r="F161" s="71"/>
      <c r="G161" s="71"/>
      <c r="H161" s="71"/>
      <c r="I161" s="71"/>
    </row>
    <row r="162" customFormat="false" ht="12.75" hidden="false" customHeight="true" outlineLevel="0" collapsed="false">
      <c r="A162" s="71"/>
      <c r="B162" s="71"/>
      <c r="C162" s="71"/>
      <c r="D162" s="71"/>
      <c r="E162" s="71"/>
      <c r="F162" s="71"/>
      <c r="G162" s="71"/>
      <c r="H162" s="71"/>
      <c r="I162" s="71"/>
    </row>
    <row r="163" customFormat="false" ht="12.75" hidden="false" customHeight="true" outlineLevel="0" collapsed="false">
      <c r="A163" s="71"/>
      <c r="B163" s="71"/>
      <c r="C163" s="71"/>
      <c r="D163" s="71"/>
      <c r="E163" s="71"/>
      <c r="F163" s="71"/>
      <c r="G163" s="71"/>
      <c r="H163" s="71"/>
      <c r="I163" s="71"/>
    </row>
  </sheetData>
  <autoFilter ref="A12:N13"/>
  <mergeCells count="18">
    <mergeCell ref="B2:J2"/>
    <mergeCell ref="B3:J3"/>
    <mergeCell ref="C4:D4"/>
    <mergeCell ref="A5:C5"/>
    <mergeCell ref="D5:I5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C11:D11"/>
    <mergeCell ref="E11:N11"/>
    <mergeCell ref="J12:N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0" activeCellId="0" sqref="C20"/>
    </sheetView>
  </sheetViews>
  <sheetFormatPr defaultColWidth="9.109375" defaultRowHeight="12.75" zeroHeight="false" outlineLevelRow="0" outlineLevelCol="0"/>
  <cols>
    <col collapsed="false" customWidth="false" hidden="false" outlineLevel="0" max="1" min="1" style="75" width="9.11"/>
    <col collapsed="false" customWidth="true" hidden="false" outlineLevel="0" max="2" min="2" style="75" width="31.44"/>
    <col collapsed="false" customWidth="false" hidden="false" outlineLevel="0" max="16384" min="3" style="75" width="9.11"/>
  </cols>
  <sheetData>
    <row r="1" customFormat="false" ht="30" hidden="false" customHeight="true" outlineLevel="0" collapsed="false">
      <c r="D1" s="76" t="s">
        <v>222</v>
      </c>
    </row>
    <row r="4" customFormat="false" ht="12.75" hidden="false" customHeight="true" outlineLevel="0" collapsed="false">
      <c r="B4" s="75" t="s">
        <v>223</v>
      </c>
      <c r="C4" s="75" t="n">
        <f aca="false">COUNTIF('Pruebas Estandar '!D7:D82,"OK")</f>
        <v>8</v>
      </c>
    </row>
    <row r="5" customFormat="false" ht="12.75" hidden="false" customHeight="true" outlineLevel="0" collapsed="false">
      <c r="B5" s="75" t="s">
        <v>224</v>
      </c>
      <c r="C5" s="75" t="n">
        <f aca="false">COUNTIF('Pruebas Estandar '!D7:D82,"NC")</f>
        <v>0</v>
      </c>
    </row>
    <row r="6" customFormat="false" ht="12.75" hidden="false" customHeight="true" outlineLevel="0" collapsed="false">
      <c r="B6" s="75" t="s">
        <v>225</v>
      </c>
      <c r="C6" s="75" t="n">
        <f aca="false">COUNTIF('Pruebas Estandar '!D7:D82,"NA")</f>
        <v>6</v>
      </c>
    </row>
    <row r="11" customFormat="false" ht="12.75" hidden="false" customHeight="true" outlineLevel="0" collapsed="false">
      <c r="B11" s="75" t="s">
        <v>226</v>
      </c>
      <c r="C11" s="75" t="n">
        <f aca="false">COUNTA('Casos de Prueba'!E14:E48)</f>
        <v>15</v>
      </c>
    </row>
    <row r="12" customFormat="false" ht="12.75" hidden="false" customHeight="true" outlineLevel="0" collapsed="false">
      <c r="B12" s="75" t="s">
        <v>227</v>
      </c>
      <c r="C12" s="75" t="n">
        <f aca="false">COUNTIF('Casos de Prueba'!J14:J48,"X")</f>
        <v>15</v>
      </c>
    </row>
    <row r="13" customFormat="false" ht="12.75" hidden="false" customHeight="true" outlineLevel="0" collapsed="false">
      <c r="B13" s="75" t="s">
        <v>228</v>
      </c>
      <c r="C13" s="75" t="n">
        <f aca="false">COUNTIF('Casos de Prueba'!K14:K48,"X")</f>
        <v>0</v>
      </c>
    </row>
    <row r="14" customFormat="false" ht="12.75" hidden="false" customHeight="true" outlineLevel="0" collapsed="false">
      <c r="B14" s="75" t="s">
        <v>229</v>
      </c>
      <c r="C14" s="75" t="n">
        <f aca="false">COUNTIF('Casos de Prueba'!L14:L48,"X")</f>
        <v>0</v>
      </c>
    </row>
    <row r="15" customFormat="false" ht="12.75" hidden="false" customHeight="true" outlineLevel="0" collapsed="false">
      <c r="B15" s="75" t="s">
        <v>230</v>
      </c>
      <c r="C15" s="75" t="n">
        <f aca="false">C11-C12-C13-C14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  <dc:description/>
  <dc:language>en-US</dc:language>
  <cp:lastModifiedBy/>
  <dcterms:modified xsi:type="dcterms:W3CDTF">2026-06-17T03:35:25Z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